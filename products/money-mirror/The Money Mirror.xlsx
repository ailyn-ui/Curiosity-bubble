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Money minute" sheetId="3" state="visible" r:id="rId5"/>
    <sheet name="Owed to you" sheetId="4" state="visible" r:id="rId6"/>
    <sheet name="Fixed costs" sheetId="5" state="visible" r:id="rId7"/>
  </sheets>
  <definedNames>
    <definedName function="false" hidden="false" name="Cushion" vbProcedure="false">'Start here'!$D$16</definedName>
    <definedName function="false" hidden="false" name="StartBalance" vbProcedure="false">'Start here'!$D$9</definedName>
    <definedName function="false" hidden="false" name="TaxRate" vbProcedure="false">'Start here'!$D$15</definedName>
    <definedName function="false" hidden="false" name="YourName" vbProcedure="false">'Start here'!$D$7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5" authorId="0">
      <text>
        <r>
          <rPr>
            <sz val="10"/>
            <rFont val="Arial"/>
            <family val="2"/>
          </rPr>
          <t xml:space="preserve">Ask your accountant what's right for you. Many freelancers set aside 25–35%.</t>
        </r>
      </text>
    </comment>
  </commentList>
</comments>
</file>

<file path=xl/sharedStrings.xml><?xml version="1.0" encoding="utf-8"?>
<sst xmlns="http://schemas.openxmlformats.org/spreadsheetml/2006/main" count="72" uniqueCount="68">
  <si>
    <t xml:space="preserve">The Money Mirror</t>
  </si>
  <si>
    <t xml:space="preserve">A tool for clarity. About 10 minutes, once. Then one minute a week.</t>
  </si>
  <si>
    <t xml:space="preserve">Pink boxes are yours to fill. Everything else updates itself.</t>
  </si>
  <si>
    <t xml:space="preserve">1</t>
  </si>
  <si>
    <t xml:space="preserve">What's your first name?</t>
  </si>
  <si>
    <t xml:space="preserve">2</t>
  </si>
  <si>
    <t xml:space="preserve">What's in your business account today?</t>
  </si>
  <si>
    <t xml:space="preserve">Tip: this is just your starting point. Your money minute keeps it fresh.</t>
  </si>
  <si>
    <t xml:space="preserve">3</t>
  </si>
  <si>
    <t xml:space="preserve">Add your fixed costs  →  'Fixed costs' tab</t>
  </si>
  <si>
    <t xml:space="preserve">4</t>
  </si>
  <si>
    <t xml:space="preserve">Add anything people owe you  →  'Owed to you' tab</t>
  </si>
  <si>
    <t xml:space="preserve">Nobody owes me right now? Pick Yes →</t>
  </si>
  <si>
    <t xml:space="preserve">5</t>
  </si>
  <si>
    <t xml:space="preserve">Tax: what % of income do you set aside?</t>
  </si>
  <si>
    <t xml:space="preserve">Comfort cushion: an amount you never want to dip below</t>
  </si>
  <si>
    <t xml:space="preserve">If you already move tax to a separate account, put 0% above.</t>
  </si>
  <si>
    <t xml:space="preserve">Then, once a week: your money minute. Two numbers, about 60 seconds.</t>
  </si>
  <si>
    <t xml:space="preserve">The Money Mirror helps you see your numbers. It isn't tax, legal or financial advice. For that, talk to an accountant or financial adviser.</t>
  </si>
  <si>
    <t xml:space="preserve">SAFE TO SPEND THIS MONTH</t>
  </si>
  <si>
    <t xml:space="preserve">Balance today</t>
  </si>
  <si>
    <t xml:space="preserve">Money in this month</t>
  </si>
  <si>
    <t xml:space="preserve">Fixed costs still to pay</t>
  </si>
  <si>
    <t xml:space="preserve">Set aside for tax</t>
  </si>
  <si>
    <t xml:space="preserve">OWED TO YOU</t>
  </si>
  <si>
    <t xml:space="preserve">YOUR MONEY MINUTE</t>
  </si>
  <si>
    <t xml:space="preserve">Safe to spend = balance today − fixed costs still to pay − tax to set aside − your comfort cushion.</t>
  </si>
  <si>
    <t xml:space="preserve">It's a guide to help you see clearly, not financial advice.</t>
  </si>
  <si>
    <t xml:space="preserve">Behind the scenes (no need to touch)</t>
  </si>
  <si>
    <t xml:space="preserve">Balance</t>
  </si>
  <si>
    <t xml:space="preserve">Fixed still to pay</t>
  </si>
  <si>
    <t xml:space="preserve">Tax to set aside</t>
  </si>
  <si>
    <t xml:space="preserve">Owed to you</t>
  </si>
  <si>
    <t xml:space="preserve">Invoices waiting</t>
  </si>
  <si>
    <t xml:space="preserve">Overdue</t>
  </si>
  <si>
    <t xml:space="preserve">Safe to spend</t>
  </si>
  <si>
    <t xml:space="preserve">Days since money minute</t>
  </si>
  <si>
    <t xml:space="preserve">Money minutes this month</t>
  </si>
  <si>
    <t xml:space="preserve">Fixed costs total</t>
  </si>
  <si>
    <t xml:space="preserve">Cushion</t>
  </si>
  <si>
    <t xml:space="preserve">Your money minute</t>
  </si>
  <si>
    <t xml:space="preserve">Once a week. Open your bank app, type today's date and balance. Done.</t>
  </si>
  <si>
    <t xml:space="preserve">Date</t>
  </si>
  <si>
    <t xml:space="preserve">Other money in*</t>
  </si>
  <si>
    <t xml:space="preserve">A note to yourself (optional)</t>
  </si>
  <si>
    <t xml:space="preserve">e.g. 03/11/2026</t>
  </si>
  <si>
    <t xml:space="preserve">4,250</t>
  </si>
  <si>
    <t xml:space="preserve">0</t>
  </si>
  <si>
    <t xml:space="preserve">Felt okay. Chased Studio Luna.</t>
  </si>
  <si>
    <t xml:space="preserve">* Money that came in this week that isn't one of your invoices (a sale, a refund, a one-off job).</t>
  </si>
  <si>
    <t xml:space="preserve">Every invoice you've sent. When one gets paid, just type the date. That's it.</t>
  </si>
  <si>
    <t xml:space="preserve">Client</t>
  </si>
  <si>
    <t xml:space="preserve">Amount</t>
  </si>
  <si>
    <t xml:space="preserve">Due date</t>
  </si>
  <si>
    <t xml:space="preserve">Paid on</t>
  </si>
  <si>
    <t xml:space="preserve">Status</t>
  </si>
  <si>
    <t xml:space="preserve">e.g. Studio Luna</t>
  </si>
  <si>
    <t xml:space="preserve">1,200</t>
  </si>
  <si>
    <t xml:space="preserve">15/11/2026</t>
  </si>
  <si>
    <t xml:space="preserve">(leave empty until paid)</t>
  </si>
  <si>
    <t xml:space="preserve">Fixed costs</t>
  </si>
  <si>
    <t xml:space="preserve">What leaves every month, no matter what. Add them once; you rarely touch this again.</t>
  </si>
  <si>
    <t xml:space="preserve">What it is</t>
  </si>
  <si>
    <t xml:space="preserve">Amount per month</t>
  </si>
  <si>
    <t xml:space="preserve">Day it leaves (1–31)</t>
  </si>
  <si>
    <t xml:space="preserve">This month</t>
  </si>
  <si>
    <t xml:space="preserve">e.g. Rent</t>
  </si>
  <si>
    <t xml:space="preserve">1,800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</si>
</sst>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-#,##0;0"/>
    <numFmt numFmtId="166" formatCode="0%"/>
    <numFmt numFmtId="167" formatCode="0%&quot; set up&quot;"/>
    <numFmt numFmtId="168" formatCode="dd\ mmm\ 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B0B0B"/>
      <name val="Playfair Display"/>
      <family val="0"/>
      <charset val="1"/>
    </font>
    <font>
      <i val="true"/>
      <sz val="11"/>
      <color rgb="FF8A8A8A"/>
      <name val="Arial"/>
      <family val="0"/>
      <charset val="1"/>
    </font>
    <font>
      <b val="true"/>
      <sz val="10"/>
      <color rgb="FFE6005C"/>
      <name val="Arial"/>
      <family val="0"/>
      <charset val="1"/>
    </font>
    <font>
      <b val="true"/>
      <sz val="16"/>
      <color rgb="FFE6005C"/>
      <name val="Playfair Display"/>
      <family val="0"/>
      <charset val="1"/>
    </font>
    <font>
      <b val="true"/>
      <sz val="11"/>
      <color rgb="FF0B0B0B"/>
      <name val="Arial"/>
      <family val="0"/>
      <charset val="1"/>
    </font>
    <font>
      <b val="true"/>
      <sz val="12"/>
      <color rgb="FF0B0B0B"/>
      <name val="Arial"/>
      <family val="0"/>
      <charset val="1"/>
    </font>
    <font>
      <b val="true"/>
      <sz val="11"/>
      <color rgb="FF1F9D55"/>
      <name val="Arial"/>
      <family val="0"/>
      <charset val="1"/>
    </font>
    <font>
      <i val="true"/>
      <sz val="9"/>
      <color rgb="FF8A8A8A"/>
      <name val="Arial"/>
      <family val="0"/>
      <charset val="1"/>
    </font>
    <font>
      <b val="true"/>
      <sz val="14"/>
      <color rgb="FFE6005C"/>
      <name val="Playfair Display"/>
      <family val="0"/>
      <charset val="1"/>
    </font>
    <font>
      <b val="true"/>
      <sz val="13"/>
      <color rgb="FF0B0B0B"/>
      <name val="Playfair Display"/>
      <family val="0"/>
      <charset val="1"/>
    </font>
    <font>
      <sz val="10"/>
      <color rgb="FF8A8A8A"/>
      <name val="Arial"/>
      <family val="0"/>
      <charset val="1"/>
    </font>
    <font>
      <i val="true"/>
      <sz val="8"/>
      <color rgb="FF8A8A8A"/>
      <name val="Arial"/>
      <family val="0"/>
      <charset val="1"/>
    </font>
    <font>
      <sz val="10"/>
      <name val="Arial"/>
      <family val="2"/>
    </font>
    <font>
      <b val="true"/>
      <sz val="22"/>
      <color rgb="FF0B0B0B"/>
      <name val="Playfair Display"/>
      <family val="0"/>
      <charset val="1"/>
    </font>
    <font>
      <i val="true"/>
      <sz val="10"/>
      <color rgb="FF8A8A8A"/>
      <name val="Arial"/>
      <family val="0"/>
      <charset val="1"/>
    </font>
    <font>
      <b val="true"/>
      <sz val="11"/>
      <color rgb="FFE6005C"/>
      <name val="Arial"/>
      <family val="0"/>
      <charset val="1"/>
    </font>
    <font>
      <b val="true"/>
      <sz val="60"/>
      <color rgb="FF0B0B0B"/>
      <name val="Playfair Display"/>
      <family val="0"/>
      <charset val="1"/>
    </font>
    <font>
      <b val="true"/>
      <sz val="9"/>
      <color rgb="FF8A8A8A"/>
      <name val="Arial"/>
      <family val="0"/>
      <charset val="1"/>
    </font>
    <font>
      <b val="true"/>
      <sz val="20"/>
      <color rgb="FF0B0B0B"/>
      <name val="Playfair Display"/>
      <family val="0"/>
      <charset val="1"/>
    </font>
    <font>
      <sz val="11"/>
      <color rgb="FF0B0B0B"/>
      <name val="Arial"/>
      <family val="0"/>
      <charset val="1"/>
    </font>
    <font>
      <sz val="9"/>
      <color rgb="FF8A8A8A"/>
      <name val="Arial"/>
      <family val="0"/>
      <charset val="1"/>
    </font>
    <font>
      <b val="true"/>
      <sz val="10"/>
      <color rgb="FF8A8A8A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CE4EE"/>
      </patternFill>
    </fill>
    <fill>
      <patternFill patternType="solid">
        <fgColor rgb="FFFCE4EE"/>
        <bgColor rgb="FFDDDDD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ck">
        <color rgb="FFE6005C"/>
      </left>
      <right/>
      <top/>
      <bottom/>
      <diagonal/>
    </border>
    <border diagonalUp="false" diagonalDown="false">
      <left/>
      <right/>
      <top/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C62828"/>
      </font>
    </dxf>
    <dxf>
      <font>
        <b val="1"/>
        <color rgb="FFE08A00"/>
      </font>
    </dxf>
    <dxf>
      <font>
        <b val="1"/>
        <color rgb="FF1F9D55"/>
      </font>
    </dxf>
    <dxf>
      <font>
        <b val="1"/>
        <color rgb="FFE6005C"/>
      </font>
    </dxf>
  </dxfs>
  <colors>
    <indexedColors>
      <rgbColor rgb="FF000000"/>
      <rgbColor rgb="FFFFFFFF"/>
      <rgbColor rgb="FFE6005C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A8A8A"/>
      <rgbColor rgb="FF9999FF"/>
      <rgbColor rgb="FF993366"/>
      <rgbColor rgb="FFFCE4EE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08A00"/>
      <rgbColor rgb="FFFF6600"/>
      <rgbColor rgb="FF666699"/>
      <rgbColor rgb="FF969696"/>
      <rgbColor rgb="FF003366"/>
      <rgbColor rgb="FF1F9D55"/>
      <rgbColor rgb="FF0B0B0B"/>
      <rgbColor rgb="FF333300"/>
      <rgbColor rgb="FFC6282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005C"/>
    <pageSetUpPr fitToPage="false"/>
  </sheetPr>
  <dimension ref="A1:F10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58"/>
    <col collapsed="false" customWidth="true" hidden="false" outlineLevel="0" max="4" min="4" style="0" width="18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</row>
    <row r="2" customFormat="false" ht="39.75" hidden="false" customHeight="true" outlineLevel="0" collapsed="false">
      <c r="A2" s="1"/>
      <c r="B2" s="2" t="s">
        <v>0</v>
      </c>
      <c r="C2" s="1"/>
      <c r="D2" s="1"/>
      <c r="E2" s="1"/>
      <c r="F2" s="1"/>
    </row>
    <row r="3" customFormat="false" ht="15" hidden="false" customHeight="false" outlineLevel="0" collapsed="false">
      <c r="A3" s="1"/>
      <c r="B3" s="3" t="s">
        <v>1</v>
      </c>
      <c r="C3" s="1"/>
      <c r="D3" s="1"/>
      <c r="E3" s="1"/>
      <c r="F3" s="1"/>
    </row>
    <row r="4" customFormat="false" ht="15" hidden="false" customHeight="false" outlineLevel="0" collapsed="false">
      <c r="A4" s="1"/>
      <c r="B4" s="4" t="s">
        <v>2</v>
      </c>
      <c r="C4" s="1"/>
      <c r="D4" s="1"/>
      <c r="E4" s="1"/>
      <c r="F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</row>
    <row r="6" customFormat="false" ht="15" hidden="false" customHeight="false" outlineLevel="0" collapsed="false">
      <c r="A6" s="1"/>
      <c r="B6" s="1"/>
      <c r="C6" s="1"/>
      <c r="D6" s="1"/>
      <c r="E6" s="1"/>
      <c r="F6" s="1"/>
    </row>
    <row r="7" customFormat="false" ht="24" hidden="false" customHeight="true" outlineLevel="0" collapsed="false">
      <c r="A7" s="1"/>
      <c r="B7" s="5" t="s">
        <v>3</v>
      </c>
      <c r="C7" s="6" t="s">
        <v>4</v>
      </c>
      <c r="D7" s="7"/>
      <c r="E7" s="8" t="str">
        <f aca="false">IF(D7&lt;&gt;"","✓ done","")</f>
        <v/>
      </c>
      <c r="F7" s="1"/>
    </row>
    <row r="8" customFormat="false" ht="15" hidden="false" customHeight="false" outlineLevel="0" collapsed="false">
      <c r="A8" s="1"/>
      <c r="B8" s="1"/>
      <c r="C8" s="1"/>
      <c r="D8" s="1"/>
      <c r="E8" s="1"/>
      <c r="F8" s="1"/>
    </row>
    <row r="9" customFormat="false" ht="24" hidden="false" customHeight="true" outlineLevel="0" collapsed="false">
      <c r="A9" s="1"/>
      <c r="B9" s="5" t="s">
        <v>5</v>
      </c>
      <c r="C9" s="6" t="s">
        <v>6</v>
      </c>
      <c r="D9" s="9"/>
      <c r="E9" s="8" t="str">
        <f aca="false">IF(D9&lt;&gt;"","✓ done","")</f>
        <v/>
      </c>
      <c r="F9" s="1"/>
    </row>
    <row r="10" customFormat="false" ht="15" hidden="false" customHeight="false" outlineLevel="0" collapsed="false">
      <c r="A10" s="1"/>
      <c r="B10" s="1"/>
      <c r="C10" s="10" t="s">
        <v>7</v>
      </c>
      <c r="D10" s="1"/>
      <c r="E10" s="1"/>
      <c r="F10" s="1"/>
    </row>
    <row r="11" customFormat="false" ht="24" hidden="false" customHeight="true" outlineLevel="0" collapsed="false">
      <c r="A11" s="1"/>
      <c r="B11" s="5" t="s">
        <v>8</v>
      </c>
      <c r="C11" s="6" t="s">
        <v>9</v>
      </c>
      <c r="D11" s="1"/>
      <c r="E11" s="8" t="str">
        <f aca="false">IF(COUNT('Fixed costs'!C8:C107)&gt;0,"✓ done","")</f>
        <v/>
      </c>
      <c r="F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</row>
    <row r="13" customFormat="false" ht="24" hidden="false" customHeight="true" outlineLevel="0" collapsed="false">
      <c r="A13" s="1"/>
      <c r="B13" s="5" t="s">
        <v>10</v>
      </c>
      <c r="C13" s="6" t="s">
        <v>11</v>
      </c>
      <c r="D13" s="1"/>
      <c r="E13" s="8" t="str">
        <f aca="false">IF(OR(COUNT('Owed to you'!C8:C107)&gt;0,D14="Yes"),"✓ done","")</f>
        <v/>
      </c>
      <c r="F13" s="1"/>
    </row>
    <row r="14" customFormat="false" ht="15" hidden="false" customHeight="false" outlineLevel="0" collapsed="false">
      <c r="A14" s="1"/>
      <c r="B14" s="1"/>
      <c r="C14" s="10" t="s">
        <v>12</v>
      </c>
      <c r="D14" s="11"/>
      <c r="E14" s="1"/>
      <c r="F14" s="1"/>
    </row>
    <row r="15" customFormat="false" ht="24" hidden="false" customHeight="true" outlineLevel="0" collapsed="false">
      <c r="A15" s="1"/>
      <c r="B15" s="5" t="s">
        <v>13</v>
      </c>
      <c r="C15" s="6" t="s">
        <v>14</v>
      </c>
      <c r="D15" s="12"/>
      <c r="E15" s="8" t="str">
        <f aca="false">IF(D15&lt;&gt;"","✓ done","")</f>
        <v/>
      </c>
      <c r="F15" s="1"/>
    </row>
    <row r="16" customFormat="false" ht="24" hidden="false" customHeight="true" outlineLevel="0" collapsed="false">
      <c r="A16" s="1"/>
      <c r="B16" s="5"/>
      <c r="C16" s="6" t="s">
        <v>15</v>
      </c>
      <c r="D16" s="9"/>
      <c r="E16" s="1"/>
      <c r="F16" s="1"/>
    </row>
    <row r="17" customFormat="false" ht="15" hidden="false" customHeight="false" outlineLevel="0" collapsed="false">
      <c r="A17" s="1"/>
      <c r="B17" s="1"/>
      <c r="C17" s="10" t="s">
        <v>16</v>
      </c>
      <c r="D17" s="1"/>
      <c r="E17" s="1"/>
      <c r="F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</row>
    <row r="20" customFormat="false" ht="17.35" hidden="false" customHeight="false" outlineLevel="0" collapsed="false">
      <c r="A20" s="1"/>
      <c r="B20" s="1"/>
      <c r="C20" s="13" t="n">
        <f aca="false">COUNTIF(E7:E15,"✓ done")/5</f>
        <v>0</v>
      </c>
      <c r="D20" s="1"/>
      <c r="E20" s="1"/>
      <c r="F20" s="1"/>
    </row>
    <row r="21" customFormat="false" ht="16.15" hidden="false" customHeight="false" outlineLevel="0" collapsed="false">
      <c r="A21" s="1"/>
      <c r="B21" s="1"/>
      <c r="C21" s="14" t="str">
        <f aca="false">IF(C20=1,"You did it. You know your numbers. Head to your Dashboard ✨","Step "&amp;(COUNTIF(E7:E15,"✓ done")+1)&amp;" of 5. You're doing great.")</f>
        <v>Step 1 of 5. You're doing great.</v>
      </c>
      <c r="D21" s="1"/>
      <c r="E21" s="1"/>
      <c r="F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</row>
    <row r="23" customFormat="false" ht="15" hidden="false" customHeight="false" outlineLevel="0" collapsed="false">
      <c r="A23" s="1"/>
      <c r="B23" s="1"/>
      <c r="C23" s="15" t="s">
        <v>17</v>
      </c>
      <c r="D23" s="1"/>
      <c r="E23" s="1"/>
      <c r="F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</row>
    <row r="25" customFormat="false" ht="15" hidden="false" customHeight="true" outlineLevel="0" collapsed="false">
      <c r="A25" s="1"/>
      <c r="B25" s="1"/>
      <c r="C25" s="16" t="s">
        <v>18</v>
      </c>
      <c r="D25" s="16"/>
      <c r="E25" s="16"/>
      <c r="F25" s="1"/>
    </row>
    <row r="26" customFormat="false" ht="15" hidden="false" customHeight="false" outlineLevel="0" collapsed="false">
      <c r="A26" s="1"/>
      <c r="B26" s="1"/>
      <c r="C26" s="16"/>
      <c r="D26" s="16"/>
      <c r="E26" s="16"/>
      <c r="F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</row>
    <row r="106" customFormat="false" ht="15" hidden="false" customHeight="false" outlineLevel="0" collapsed="false">
      <c r="A106" s="1"/>
      <c r="B106" s="1"/>
      <c r="C106" s="1"/>
      <c r="D106" s="1"/>
      <c r="E106" s="1"/>
      <c r="F106" s="1"/>
    </row>
    <row r="107" customFormat="false" ht="15" hidden="false" customHeight="false" outlineLevel="0" collapsed="false">
      <c r="A107" s="1"/>
      <c r="B107" s="1"/>
      <c r="C107" s="1"/>
      <c r="D107" s="1"/>
      <c r="E107" s="1"/>
      <c r="F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</row>
  </sheetData>
  <mergeCells count="1">
    <mergeCell ref="C25:E26"/>
  </mergeCells>
  <dataValidations count="2">
    <dataValidation allowBlank="true" errorStyle="stop" operator="between" showDropDown="false" showErrorMessage="false" showInputMessage="false" sqref="D14" type="list">
      <formula1>"Yes"</formula1>
      <formula2>0</formula2>
    </dataValidation>
    <dataValidation allowBlank="true" error="Type a percentage, like 30%." errorStyle="stop" operator="between" showDropDown="false" showErrorMessage="true" showInputMessage="false" sqref="D1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0B0B"/>
    <pageSetUpPr fitToPage="false"/>
  </sheetPr>
  <dimension ref="A1:G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22"/>
    <col collapsed="false" customWidth="true" hidden="false" outlineLevel="0" max="6" min="6" style="0" width="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</row>
    <row r="2" customFormat="false" ht="26.8" hidden="false" customHeight="false" outlineLevel="0" collapsed="false">
      <c r="A2" s="1"/>
      <c r="B2" s="17" t="str">
        <f aca="false">IF(YourName="","Your money, at a glance.","Hi "&amp;YourName&amp;". Here's where you are.")</f>
        <v>Your money, at a glance.</v>
      </c>
      <c r="C2" s="1"/>
      <c r="D2" s="1"/>
      <c r="E2" s="1"/>
      <c r="F2" s="1"/>
      <c r="G2" s="1"/>
    </row>
    <row r="3" customFormat="false" ht="15" hidden="false" customHeight="false" outlineLevel="0" collapsed="false">
      <c r="A3" s="1"/>
      <c r="B3" s="18" t="str">
        <f aca="true">"Updated "&amp;TEXT(TODAY(),"dddd d mmmm")</f>
        <v>Updated Thursday 29 October</v>
      </c>
      <c r="C3" s="1"/>
      <c r="D3" s="1"/>
      <c r="E3" s="1"/>
      <c r="F3" s="1"/>
      <c r="G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</row>
    <row r="6" customFormat="false" ht="15" hidden="false" customHeight="false" outlineLevel="0" collapsed="false">
      <c r="A6" s="1"/>
      <c r="B6" s="19" t="s">
        <v>19</v>
      </c>
      <c r="C6" s="1"/>
      <c r="D6" s="1"/>
      <c r="E6" s="1"/>
      <c r="F6" s="1"/>
      <c r="G6" s="1"/>
    </row>
    <row r="7" customFormat="false" ht="33.75" hidden="false" customHeight="true" outlineLevel="0" collapsed="false">
      <c r="A7" s="1"/>
      <c r="B7" s="20" t="n">
        <f aca="false">C38</f>
        <v>0</v>
      </c>
      <c r="C7" s="20"/>
      <c r="D7" s="20"/>
      <c r="E7" s="20"/>
      <c r="F7" s="1"/>
      <c r="G7" s="1"/>
    </row>
    <row r="8" customFormat="false" ht="33.75" hidden="false" customHeight="true" outlineLevel="0" collapsed="false">
      <c r="A8" s="1"/>
      <c r="B8" s="20"/>
      <c r="C8" s="20"/>
      <c r="D8" s="20"/>
      <c r="E8" s="20"/>
      <c r="F8" s="1"/>
      <c r="G8" s="1"/>
    </row>
    <row r="9" customFormat="false" ht="33.75" hidden="false" customHeight="true" outlineLevel="0" collapsed="false">
      <c r="A9" s="1"/>
      <c r="B9" s="20"/>
      <c r="C9" s="20"/>
      <c r="D9" s="20"/>
      <c r="E9" s="20"/>
      <c r="F9" s="1"/>
      <c r="G9" s="1"/>
    </row>
    <row r="10" customFormat="false" ht="15" hidden="false" customHeight="false" outlineLevel="0" collapsed="false">
      <c r="A10" s="1"/>
      <c r="B10" s="21" t="str">
        <f aca="false">IF(C38&gt;=0,"You can breathe. This is yours to use this month.",IF(C38&gt;=-N(Cushion),"You're into your cushion. Go gently this month.","Pause big spends for now. Start with what's owed to you →"))</f>
        <v>You can breathe. This is yours to use this month.</v>
      </c>
      <c r="C10" s="21"/>
      <c r="D10" s="21"/>
      <c r="E10" s="21"/>
      <c r="F10" s="1"/>
      <c r="G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  <c r="G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</row>
    <row r="13" customFormat="false" ht="15" hidden="false" customHeight="false" outlineLevel="0" collapsed="false">
      <c r="A13" s="1"/>
      <c r="B13" s="22" t="s">
        <v>20</v>
      </c>
      <c r="C13" s="22" t="s">
        <v>21</v>
      </c>
      <c r="D13" s="22" t="s">
        <v>22</v>
      </c>
      <c r="E13" s="22" t="s">
        <v>23</v>
      </c>
      <c r="F13" s="1"/>
      <c r="G13" s="1"/>
    </row>
    <row r="14" customFormat="false" ht="24.45" hidden="false" customHeight="false" outlineLevel="0" collapsed="false">
      <c r="A14" s="1"/>
      <c r="B14" s="23" t="n">
        <f aca="false">C31</f>
        <v>0</v>
      </c>
      <c r="C14" s="23" t="n">
        <f aca="false">C32</f>
        <v>0</v>
      </c>
      <c r="D14" s="23" t="n">
        <f aca="false">C33</f>
        <v>0</v>
      </c>
      <c r="E14" s="23" t="n">
        <f aca="false">C34</f>
        <v>0</v>
      </c>
      <c r="F14" s="1"/>
      <c r="G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</row>
    <row r="17" customFormat="false" ht="15" hidden="false" customHeight="false" outlineLevel="0" collapsed="false">
      <c r="A17" s="1"/>
      <c r="B17" s="19" t="s">
        <v>24</v>
      </c>
      <c r="C17" s="1"/>
      <c r="D17" s="1"/>
      <c r="E17" s="1"/>
      <c r="F17" s="1"/>
      <c r="G17" s="1"/>
    </row>
    <row r="18" customFormat="false" ht="24.45" hidden="false" customHeight="false" outlineLevel="0" collapsed="false">
      <c r="A18" s="1"/>
      <c r="B18" s="23" t="n">
        <f aca="false">C35</f>
        <v>0</v>
      </c>
      <c r="C18" s="24" t="str">
        <f aca="false">IF(C36=0,"Nothing waiting. Lovely.",C36&amp;IF(C36=1," invoice"," invoices")&amp;" waiting"&amp;IF(C37&gt;0,", "&amp;C37&amp;" overdue. A gentle nudge today?",". All on time."))</f>
        <v>Nothing waiting. Lovely.</v>
      </c>
      <c r="D18" s="24"/>
      <c r="E18" s="24"/>
      <c r="F18" s="1"/>
      <c r="G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</row>
    <row r="21" customFormat="false" ht="15" hidden="false" customHeight="false" outlineLevel="0" collapsed="false">
      <c r="A21" s="1"/>
      <c r="B21" s="19" t="s">
        <v>25</v>
      </c>
      <c r="C21" s="1"/>
      <c r="D21" s="1"/>
      <c r="E21" s="1"/>
      <c r="F21" s="1"/>
      <c r="G21" s="1"/>
    </row>
    <row r="22" customFormat="false" ht="15" hidden="false" customHeight="false" outlineLevel="0" collapsed="false">
      <c r="A22" s="1"/>
      <c r="B22" s="25" t="str">
        <f aca="false">IF(C39=-1,"Your first money minute is waiting. Two numbers, about 60 seconds.",IF(C39&lt;=7,"On track ✓  Last check-in "&amp;IF(C39=0,"today","" &amp; C39 &amp; IF(C39=1," day"," days")&amp;" ago")&amp;". "&amp;C40&amp;" this month.","It's been "&amp;C39&amp;" days. One minute, two numbers. You've got this."))</f>
        <v>Your first money minute is waiting. Two numbers, about 60 seconds.</v>
      </c>
      <c r="C22" s="25"/>
      <c r="D22" s="25"/>
      <c r="E22" s="25"/>
      <c r="F22" s="1"/>
      <c r="G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</row>
    <row r="25" customFormat="false" ht="15" hidden="false" customHeight="false" outlineLevel="0" collapsed="false">
      <c r="A25" s="1"/>
      <c r="B25" s="26" t="s">
        <v>26</v>
      </c>
      <c r="C25" s="1"/>
      <c r="D25" s="1"/>
      <c r="E25" s="1"/>
      <c r="F25" s="1"/>
      <c r="G25" s="1"/>
    </row>
    <row r="26" customFormat="false" ht="15" hidden="false" customHeight="false" outlineLevel="0" collapsed="false">
      <c r="A26" s="1"/>
      <c r="B26" s="26" t="s">
        <v>27</v>
      </c>
      <c r="C26" s="1"/>
      <c r="D26" s="1"/>
      <c r="E26" s="1"/>
      <c r="F26" s="1"/>
      <c r="G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</row>
    <row r="30" customFormat="false" ht="15" hidden="false" customHeight="false" outlineLevel="0" collapsed="false">
      <c r="A30" s="1"/>
      <c r="B30" s="22" t="s">
        <v>28</v>
      </c>
      <c r="C30" s="1"/>
      <c r="D30" s="1"/>
      <c r="E30" s="1"/>
      <c r="F30" s="1"/>
      <c r="G30" s="1"/>
    </row>
    <row r="31" customFormat="false" ht="15" hidden="false" customHeight="false" outlineLevel="0" collapsed="false">
      <c r="A31" s="1"/>
      <c r="B31" s="27" t="s">
        <v>29</v>
      </c>
      <c r="C31" s="28" t="n">
        <f aca="false">IF(COUNT('Money minute'!B8:B107)=0,N(StartBalance),INDEX('Money minute'!C8:C107,MATCH(MAX('Money minute'!B8:B107),'Money minute'!B8:B107,0)))</f>
        <v>0</v>
      </c>
      <c r="D31" s="1"/>
      <c r="E31" s="1"/>
      <c r="F31" s="1"/>
      <c r="G31" s="1"/>
    </row>
    <row r="32" customFormat="false" ht="15" hidden="false" customHeight="false" outlineLevel="0" collapsed="false">
      <c r="A32" s="1"/>
      <c r="B32" s="27" t="s">
        <v>21</v>
      </c>
      <c r="C32" s="28" t="n">
        <f aca="true">SUMPRODUCT(('Owed to you'!E8:E107&gt;=(EOMONTH(TODAY(),-1)+1))*('Owed to you'!E8:E107&lt;=EOMONTH(TODAY(),0))*'Owed to you'!C8:C107)+SUMPRODUCT(('Money minute'!B8:B107&gt;=(EOMONTH(TODAY(),-1)+1))*('Money minute'!B8:B107&lt;=EOMONTH(TODAY(),0))*'Money minute'!D8:D107)</f>
        <v>0</v>
      </c>
      <c r="D32" s="1"/>
      <c r="E32" s="1"/>
      <c r="F32" s="1"/>
      <c r="G32" s="1"/>
    </row>
    <row r="33" customFormat="false" ht="15" hidden="false" customHeight="false" outlineLevel="0" collapsed="false">
      <c r="A33" s="1"/>
      <c r="B33" s="27" t="s">
        <v>30</v>
      </c>
      <c r="C33" s="28" t="n">
        <f aca="true">SUMPRODUCT(('Fixed costs'!D8:D107&gt;DAY(TODAY()))*'Fixed costs'!C8:C107)</f>
        <v>0</v>
      </c>
      <c r="D33" s="1"/>
      <c r="E33" s="1"/>
      <c r="F33" s="1"/>
      <c r="G33" s="1"/>
    </row>
    <row r="34" customFormat="false" ht="15" hidden="false" customHeight="false" outlineLevel="0" collapsed="false">
      <c r="A34" s="1"/>
      <c r="B34" s="27" t="s">
        <v>31</v>
      </c>
      <c r="C34" s="28" t="n">
        <f aca="false">ROUND(N(TaxRate)*C32,0)</f>
        <v>0</v>
      </c>
      <c r="D34" s="1"/>
      <c r="E34" s="1"/>
      <c r="F34" s="1"/>
      <c r="G34" s="1"/>
    </row>
    <row r="35" customFormat="false" ht="15" hidden="false" customHeight="false" outlineLevel="0" collapsed="false">
      <c r="A35" s="1"/>
      <c r="B35" s="27" t="s">
        <v>32</v>
      </c>
      <c r="C35" s="28" t="n">
        <f aca="false">SUMPRODUCT(('Owed to you'!E8:E107="")*'Owed to you'!C8:C107)</f>
        <v>0</v>
      </c>
      <c r="D35" s="1"/>
      <c r="E35" s="1"/>
      <c r="F35" s="1"/>
      <c r="G35" s="1"/>
    </row>
    <row r="36" customFormat="false" ht="15" hidden="false" customHeight="false" outlineLevel="0" collapsed="false">
      <c r="A36" s="1"/>
      <c r="B36" s="27" t="s">
        <v>33</v>
      </c>
      <c r="C36" s="28" t="n">
        <f aca="false">SUMPRODUCT(('Owed to you'!E8:E107="")*('Owed to you'!C8:C107&lt;&gt;""))</f>
        <v>0</v>
      </c>
      <c r="D36" s="1"/>
      <c r="E36" s="1"/>
      <c r="F36" s="1"/>
      <c r="G36" s="1"/>
    </row>
    <row r="37" customFormat="false" ht="15" hidden="false" customHeight="false" outlineLevel="0" collapsed="false">
      <c r="A37" s="1"/>
      <c r="B37" s="27" t="s">
        <v>34</v>
      </c>
      <c r="C37" s="28" t="n">
        <f aca="true">SUMPRODUCT(('Owed to you'!E8:E107="")*('Owed to you'!C8:C107&lt;&gt;"")*('Owed to you'!D8:D107&lt;&gt;"")*('Owed to you'!D8:D107&lt;TODAY()))</f>
        <v>0</v>
      </c>
      <c r="D37" s="1"/>
      <c r="E37" s="1"/>
      <c r="F37" s="1"/>
      <c r="G37" s="1"/>
    </row>
    <row r="38" customFormat="false" ht="15" hidden="false" customHeight="false" outlineLevel="0" collapsed="false">
      <c r="A38" s="1"/>
      <c r="B38" s="27" t="s">
        <v>35</v>
      </c>
      <c r="C38" s="28" t="n">
        <f aca="false">C31-C33-C34-N(Cushion)</f>
        <v>0</v>
      </c>
      <c r="D38" s="1"/>
      <c r="E38" s="1"/>
      <c r="F38" s="1"/>
      <c r="G38" s="1"/>
    </row>
    <row r="39" customFormat="false" ht="15" hidden="false" customHeight="false" outlineLevel="0" collapsed="false">
      <c r="A39" s="1"/>
      <c r="B39" s="27" t="s">
        <v>36</v>
      </c>
      <c r="C39" s="28" t="n">
        <f aca="true">IF(COUNT('Money minute'!B8:B107)=0,-1,TODAY()-MAX('Money minute'!B8:B107))</f>
        <v>-1</v>
      </c>
      <c r="D39" s="1"/>
      <c r="E39" s="1"/>
      <c r="F39" s="1"/>
      <c r="G39" s="1"/>
    </row>
    <row r="40" customFormat="false" ht="15" hidden="false" customHeight="false" outlineLevel="0" collapsed="false">
      <c r="A40" s="1"/>
      <c r="B40" s="27" t="s">
        <v>37</v>
      </c>
      <c r="C40" s="28" t="n">
        <f aca="true">COUNTIFS('Money minute'!B8:B107,"&gt;="&amp;(EOMONTH(TODAY(),-1)+1),'Money minute'!B8:B107,"&lt;="&amp;EOMONTH(TODAY(),0))</f>
        <v>0</v>
      </c>
      <c r="D40" s="1"/>
      <c r="E40" s="1"/>
      <c r="F40" s="1"/>
      <c r="G40" s="1"/>
    </row>
    <row r="41" customFormat="false" ht="15" hidden="false" customHeight="false" outlineLevel="0" collapsed="false">
      <c r="A41" s="1"/>
      <c r="B41" s="27" t="s">
        <v>38</v>
      </c>
      <c r="C41" s="28" t="n">
        <f aca="false">SUM('Fixed costs'!C8:C107)</f>
        <v>0</v>
      </c>
      <c r="D41" s="1"/>
      <c r="E41" s="1"/>
      <c r="F41" s="1"/>
      <c r="G41" s="1"/>
    </row>
    <row r="42" customFormat="false" ht="15" hidden="false" customHeight="false" outlineLevel="0" collapsed="false">
      <c r="A42" s="1"/>
      <c r="B42" s="27" t="s">
        <v>39</v>
      </c>
      <c r="C42" s="28" t="n">
        <f aca="false">N(Cushion)</f>
        <v>0</v>
      </c>
      <c r="D42" s="1"/>
      <c r="E42" s="1"/>
      <c r="F42" s="1"/>
      <c r="G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</row>
    <row r="106" customFormat="false" ht="15" hidden="false" customHeight="false" outlineLevel="0" collapsed="false">
      <c r="A106" s="1"/>
      <c r="B106" s="1"/>
      <c r="C106" s="1"/>
      <c r="D106" s="1"/>
      <c r="E106" s="1"/>
      <c r="F106" s="1"/>
      <c r="G106" s="1"/>
    </row>
    <row r="107" customFormat="false" ht="15" hidden="false" customHeight="false" outlineLevel="0" collapsed="false">
      <c r="A107" s="1"/>
      <c r="B107" s="1"/>
      <c r="C107" s="1"/>
      <c r="D107" s="1"/>
      <c r="E107" s="1"/>
      <c r="F107" s="1"/>
      <c r="G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  <c r="G109" s="1"/>
    </row>
  </sheetData>
  <mergeCells count="4">
    <mergeCell ref="B7:E9"/>
    <mergeCell ref="B10:E10"/>
    <mergeCell ref="C18:E18"/>
    <mergeCell ref="B22:E22"/>
  </mergeCells>
  <conditionalFormatting sqref="B7:E10">
    <cfRule type="expression" priority="2" aboveAverage="0" equalAverage="0" bottom="0" percent="0" rank="0" text="" dxfId="0">
      <formula>$C$38&lt;-$C$42</formula>
    </cfRule>
    <cfRule type="expression" priority="3" aboveAverage="0" equalAverage="0" bottom="0" percent="0" rank="0" text="" dxfId="1">
      <formula>AND($C$38&lt;0,$C$38&gt;=-$C$42)</formula>
    </cfRule>
    <cfRule type="expression" priority="4" aboveAverage="0" equalAverage="0" bottom="0" percent="0" rank="0" text="" dxfId="2">
      <formula>$C$38&gt;=0</formula>
    </cfRule>
  </conditionalFormatting>
  <conditionalFormatting sqref="B22:E22">
    <cfRule type="expression" priority="5" aboveAverage="0" equalAverage="0" bottom="0" percent="0" rank="0" text="" dxfId="2">
      <formula>AND($C$39&gt;=0,$C$39&lt;=7)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005C"/>
    <pageSetUpPr fitToPage="false"/>
  </sheetPr>
  <dimension ref="A1:F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</row>
    <row r="2" customFormat="false" ht="39.75" hidden="false" customHeight="true" outlineLevel="0" collapsed="false">
      <c r="A2" s="1"/>
      <c r="B2" s="2" t="s">
        <v>40</v>
      </c>
      <c r="C2" s="1"/>
      <c r="D2" s="1"/>
      <c r="E2" s="1"/>
      <c r="F2" s="1"/>
    </row>
    <row r="3" customFormat="false" ht="15" hidden="false" customHeight="false" outlineLevel="0" collapsed="false">
      <c r="A3" s="1"/>
      <c r="B3" s="3" t="s">
        <v>41</v>
      </c>
      <c r="C3" s="1"/>
      <c r="D3" s="1"/>
      <c r="E3" s="1"/>
      <c r="F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</row>
    <row r="6" customFormat="false" ht="15" hidden="false" customHeight="false" outlineLevel="0" collapsed="false">
      <c r="A6" s="1"/>
      <c r="B6" s="29" t="s">
        <v>42</v>
      </c>
      <c r="C6" s="29" t="s">
        <v>20</v>
      </c>
      <c r="D6" s="29" t="s">
        <v>43</v>
      </c>
      <c r="E6" s="29" t="s">
        <v>44</v>
      </c>
      <c r="F6" s="1"/>
    </row>
    <row r="7" customFormat="false" ht="15" hidden="false" customHeight="false" outlineLevel="0" collapsed="false">
      <c r="A7" s="1"/>
      <c r="B7" s="18" t="s">
        <v>45</v>
      </c>
      <c r="C7" s="18" t="s">
        <v>46</v>
      </c>
      <c r="D7" s="18" t="s">
        <v>47</v>
      </c>
      <c r="E7" s="18" t="s">
        <v>48</v>
      </c>
      <c r="F7" s="1"/>
    </row>
    <row r="8" customFormat="false" ht="15" hidden="false" customHeight="false" outlineLevel="0" collapsed="false">
      <c r="A8" s="1"/>
      <c r="B8" s="30"/>
      <c r="C8" s="31"/>
      <c r="D8" s="31"/>
      <c r="E8" s="32"/>
      <c r="F8" s="1"/>
    </row>
    <row r="9" customFormat="false" ht="15" hidden="false" customHeight="false" outlineLevel="0" collapsed="false">
      <c r="A9" s="1"/>
      <c r="B9" s="30"/>
      <c r="C9" s="31"/>
      <c r="D9" s="31"/>
      <c r="E9" s="32"/>
      <c r="F9" s="1"/>
    </row>
    <row r="10" customFormat="false" ht="15" hidden="false" customHeight="false" outlineLevel="0" collapsed="false">
      <c r="A10" s="1"/>
      <c r="B10" s="30"/>
      <c r="C10" s="31"/>
      <c r="D10" s="31"/>
      <c r="E10" s="32"/>
      <c r="F10" s="1"/>
    </row>
    <row r="11" customFormat="false" ht="15" hidden="false" customHeight="false" outlineLevel="0" collapsed="false">
      <c r="A11" s="1"/>
      <c r="B11" s="30"/>
      <c r="C11" s="31"/>
      <c r="D11" s="31"/>
      <c r="E11" s="32"/>
      <c r="F11" s="1"/>
    </row>
    <row r="12" customFormat="false" ht="15" hidden="false" customHeight="false" outlineLevel="0" collapsed="false">
      <c r="A12" s="1"/>
      <c r="B12" s="30"/>
      <c r="C12" s="31"/>
      <c r="D12" s="31"/>
      <c r="E12" s="32"/>
      <c r="F12" s="1"/>
    </row>
    <row r="13" customFormat="false" ht="15" hidden="false" customHeight="false" outlineLevel="0" collapsed="false">
      <c r="A13" s="1"/>
      <c r="B13" s="30"/>
      <c r="C13" s="31"/>
      <c r="D13" s="31"/>
      <c r="E13" s="32"/>
      <c r="F13" s="1"/>
    </row>
    <row r="14" customFormat="false" ht="15" hidden="false" customHeight="false" outlineLevel="0" collapsed="false">
      <c r="A14" s="1"/>
      <c r="B14" s="30"/>
      <c r="C14" s="31"/>
      <c r="D14" s="31"/>
      <c r="E14" s="32"/>
      <c r="F14" s="1"/>
    </row>
    <row r="15" customFormat="false" ht="15" hidden="false" customHeight="false" outlineLevel="0" collapsed="false">
      <c r="A15" s="1"/>
      <c r="B15" s="30"/>
      <c r="C15" s="31"/>
      <c r="D15" s="31"/>
      <c r="E15" s="32"/>
      <c r="F15" s="1"/>
    </row>
    <row r="16" customFormat="false" ht="15" hidden="false" customHeight="false" outlineLevel="0" collapsed="false">
      <c r="A16" s="1"/>
      <c r="B16" s="30"/>
      <c r="C16" s="31"/>
      <c r="D16" s="31"/>
      <c r="E16" s="32"/>
      <c r="F16" s="1"/>
    </row>
    <row r="17" customFormat="false" ht="15" hidden="false" customHeight="false" outlineLevel="0" collapsed="false">
      <c r="A17" s="1"/>
      <c r="B17" s="30"/>
      <c r="C17" s="31"/>
      <c r="D17" s="31"/>
      <c r="E17" s="32"/>
      <c r="F17" s="1"/>
    </row>
    <row r="18" customFormat="false" ht="15" hidden="false" customHeight="false" outlineLevel="0" collapsed="false">
      <c r="A18" s="1"/>
      <c r="B18" s="30"/>
      <c r="C18" s="31"/>
      <c r="D18" s="31"/>
      <c r="E18" s="32"/>
      <c r="F18" s="1"/>
    </row>
    <row r="19" customFormat="false" ht="15" hidden="false" customHeight="false" outlineLevel="0" collapsed="false">
      <c r="A19" s="1"/>
      <c r="B19" s="30"/>
      <c r="C19" s="31"/>
      <c r="D19" s="31"/>
      <c r="E19" s="32"/>
      <c r="F19" s="1"/>
    </row>
    <row r="20" customFormat="false" ht="15" hidden="false" customHeight="false" outlineLevel="0" collapsed="false">
      <c r="A20" s="1"/>
      <c r="B20" s="30"/>
      <c r="C20" s="31"/>
      <c r="D20" s="31"/>
      <c r="E20" s="32"/>
      <c r="F20" s="1"/>
    </row>
    <row r="21" customFormat="false" ht="15" hidden="false" customHeight="false" outlineLevel="0" collapsed="false">
      <c r="A21" s="1"/>
      <c r="B21" s="30"/>
      <c r="C21" s="31"/>
      <c r="D21" s="31"/>
      <c r="E21" s="32"/>
      <c r="F21" s="1"/>
    </row>
    <row r="22" customFormat="false" ht="15" hidden="false" customHeight="false" outlineLevel="0" collapsed="false">
      <c r="A22" s="1"/>
      <c r="B22" s="30"/>
      <c r="C22" s="31"/>
      <c r="D22" s="31"/>
      <c r="E22" s="32"/>
      <c r="F22" s="1"/>
    </row>
    <row r="23" customFormat="false" ht="15" hidden="false" customHeight="false" outlineLevel="0" collapsed="false">
      <c r="A23" s="1"/>
      <c r="B23" s="30"/>
      <c r="C23" s="31"/>
      <c r="D23" s="31"/>
      <c r="E23" s="32"/>
      <c r="F23" s="1"/>
    </row>
    <row r="24" customFormat="false" ht="15" hidden="false" customHeight="false" outlineLevel="0" collapsed="false">
      <c r="A24" s="1"/>
      <c r="B24" s="30"/>
      <c r="C24" s="31"/>
      <c r="D24" s="31"/>
      <c r="E24" s="32"/>
      <c r="F24" s="1"/>
    </row>
    <row r="25" customFormat="false" ht="15" hidden="false" customHeight="false" outlineLevel="0" collapsed="false">
      <c r="A25" s="1"/>
      <c r="B25" s="30"/>
      <c r="C25" s="31"/>
      <c r="D25" s="31"/>
      <c r="E25" s="32"/>
      <c r="F25" s="1"/>
    </row>
    <row r="26" customFormat="false" ht="15" hidden="false" customHeight="false" outlineLevel="0" collapsed="false">
      <c r="A26" s="1"/>
      <c r="B26" s="30"/>
      <c r="C26" s="31"/>
      <c r="D26" s="31"/>
      <c r="E26" s="32"/>
      <c r="F26" s="1"/>
    </row>
    <row r="27" customFormat="false" ht="15" hidden="false" customHeight="false" outlineLevel="0" collapsed="false">
      <c r="A27" s="1"/>
      <c r="B27" s="30"/>
      <c r="C27" s="31"/>
      <c r="D27" s="31"/>
      <c r="E27" s="32"/>
      <c r="F27" s="1"/>
    </row>
    <row r="28" customFormat="false" ht="15" hidden="false" customHeight="false" outlineLevel="0" collapsed="false">
      <c r="A28" s="1"/>
      <c r="B28" s="30"/>
      <c r="C28" s="31"/>
      <c r="D28" s="31"/>
      <c r="E28" s="32"/>
      <c r="F28" s="1"/>
    </row>
    <row r="29" customFormat="false" ht="15" hidden="false" customHeight="false" outlineLevel="0" collapsed="false">
      <c r="A29" s="1"/>
      <c r="B29" s="30"/>
      <c r="C29" s="31"/>
      <c r="D29" s="31"/>
      <c r="E29" s="32"/>
      <c r="F29" s="1"/>
    </row>
    <row r="30" customFormat="false" ht="15" hidden="false" customHeight="false" outlineLevel="0" collapsed="false">
      <c r="A30" s="1"/>
      <c r="B30" s="30"/>
      <c r="C30" s="31"/>
      <c r="D30" s="31"/>
      <c r="E30" s="32"/>
      <c r="F30" s="1"/>
    </row>
    <row r="31" customFormat="false" ht="15" hidden="false" customHeight="false" outlineLevel="0" collapsed="false">
      <c r="A31" s="1"/>
      <c r="B31" s="30"/>
      <c r="C31" s="31"/>
      <c r="D31" s="31"/>
      <c r="E31" s="32"/>
      <c r="F31" s="1"/>
    </row>
    <row r="32" customFormat="false" ht="15" hidden="false" customHeight="false" outlineLevel="0" collapsed="false">
      <c r="A32" s="1"/>
      <c r="B32" s="30"/>
      <c r="C32" s="31"/>
      <c r="D32" s="31"/>
      <c r="E32" s="32"/>
      <c r="F32" s="1"/>
    </row>
    <row r="33" customFormat="false" ht="15" hidden="false" customHeight="false" outlineLevel="0" collapsed="false">
      <c r="A33" s="1"/>
      <c r="B33" s="30"/>
      <c r="C33" s="31"/>
      <c r="D33" s="31"/>
      <c r="E33" s="32"/>
      <c r="F33" s="1"/>
    </row>
    <row r="34" customFormat="false" ht="15" hidden="false" customHeight="false" outlineLevel="0" collapsed="false">
      <c r="A34" s="1"/>
      <c r="B34" s="30"/>
      <c r="C34" s="31"/>
      <c r="D34" s="31"/>
      <c r="E34" s="32"/>
      <c r="F34" s="1"/>
    </row>
    <row r="35" customFormat="false" ht="15" hidden="false" customHeight="false" outlineLevel="0" collapsed="false">
      <c r="A35" s="1"/>
      <c r="B35" s="30"/>
      <c r="C35" s="31"/>
      <c r="D35" s="31"/>
      <c r="E35" s="32"/>
      <c r="F35" s="1"/>
    </row>
    <row r="36" customFormat="false" ht="15" hidden="false" customHeight="false" outlineLevel="0" collapsed="false">
      <c r="A36" s="1"/>
      <c r="B36" s="30"/>
      <c r="C36" s="31"/>
      <c r="D36" s="31"/>
      <c r="E36" s="32"/>
      <c r="F36" s="1"/>
    </row>
    <row r="37" customFormat="false" ht="15" hidden="false" customHeight="false" outlineLevel="0" collapsed="false">
      <c r="A37" s="1"/>
      <c r="B37" s="30"/>
      <c r="C37" s="31"/>
      <c r="D37" s="31"/>
      <c r="E37" s="32"/>
      <c r="F37" s="1"/>
    </row>
    <row r="38" customFormat="false" ht="15" hidden="false" customHeight="false" outlineLevel="0" collapsed="false">
      <c r="A38" s="1"/>
      <c r="B38" s="30"/>
      <c r="C38" s="31"/>
      <c r="D38" s="31"/>
      <c r="E38" s="32"/>
      <c r="F38" s="1"/>
    </row>
    <row r="39" customFormat="false" ht="15" hidden="false" customHeight="false" outlineLevel="0" collapsed="false">
      <c r="A39" s="1"/>
      <c r="B39" s="30"/>
      <c r="C39" s="31"/>
      <c r="D39" s="31"/>
      <c r="E39" s="32"/>
      <c r="F39" s="1"/>
    </row>
    <row r="40" customFormat="false" ht="15" hidden="false" customHeight="false" outlineLevel="0" collapsed="false">
      <c r="A40" s="1"/>
      <c r="B40" s="30"/>
      <c r="C40" s="31"/>
      <c r="D40" s="31"/>
      <c r="E40" s="32"/>
      <c r="F40" s="1"/>
    </row>
    <row r="41" customFormat="false" ht="15" hidden="false" customHeight="false" outlineLevel="0" collapsed="false">
      <c r="A41" s="1"/>
      <c r="B41" s="30"/>
      <c r="C41" s="31"/>
      <c r="D41" s="31"/>
      <c r="E41" s="32"/>
      <c r="F41" s="1"/>
    </row>
    <row r="42" customFormat="false" ht="15" hidden="false" customHeight="false" outlineLevel="0" collapsed="false">
      <c r="A42" s="1"/>
      <c r="B42" s="30"/>
      <c r="C42" s="31"/>
      <c r="D42" s="31"/>
      <c r="E42" s="32"/>
      <c r="F42" s="1"/>
    </row>
    <row r="43" customFormat="false" ht="15" hidden="false" customHeight="false" outlineLevel="0" collapsed="false">
      <c r="A43" s="1"/>
      <c r="B43" s="30"/>
      <c r="C43" s="31"/>
      <c r="D43" s="31"/>
      <c r="E43" s="32"/>
      <c r="F43" s="1"/>
    </row>
    <row r="44" customFormat="false" ht="15" hidden="false" customHeight="false" outlineLevel="0" collapsed="false">
      <c r="A44" s="1"/>
      <c r="B44" s="30"/>
      <c r="C44" s="31"/>
      <c r="D44" s="31"/>
      <c r="E44" s="32"/>
      <c r="F44" s="1"/>
    </row>
    <row r="45" customFormat="false" ht="15" hidden="false" customHeight="false" outlineLevel="0" collapsed="false">
      <c r="A45" s="1"/>
      <c r="B45" s="30"/>
      <c r="C45" s="31"/>
      <c r="D45" s="31"/>
      <c r="E45" s="32"/>
      <c r="F45" s="1"/>
    </row>
    <row r="46" customFormat="false" ht="15" hidden="false" customHeight="false" outlineLevel="0" collapsed="false">
      <c r="A46" s="1"/>
      <c r="B46" s="30"/>
      <c r="C46" s="31"/>
      <c r="D46" s="31"/>
      <c r="E46" s="32"/>
      <c r="F46" s="1"/>
    </row>
    <row r="47" customFormat="false" ht="15" hidden="false" customHeight="false" outlineLevel="0" collapsed="false">
      <c r="A47" s="1"/>
      <c r="B47" s="30"/>
      <c r="C47" s="31"/>
      <c r="D47" s="31"/>
      <c r="E47" s="32"/>
      <c r="F47" s="1"/>
    </row>
    <row r="48" customFormat="false" ht="15" hidden="false" customHeight="false" outlineLevel="0" collapsed="false">
      <c r="A48" s="1"/>
      <c r="B48" s="30"/>
      <c r="C48" s="31"/>
      <c r="D48" s="31"/>
      <c r="E48" s="32"/>
      <c r="F48" s="1"/>
    </row>
    <row r="49" customFormat="false" ht="15" hidden="false" customHeight="false" outlineLevel="0" collapsed="false">
      <c r="A49" s="1"/>
      <c r="B49" s="30"/>
      <c r="C49" s="31"/>
      <c r="D49" s="31"/>
      <c r="E49" s="32"/>
      <c r="F49" s="1"/>
    </row>
    <row r="50" customFormat="false" ht="15" hidden="false" customHeight="false" outlineLevel="0" collapsed="false">
      <c r="A50" s="1"/>
      <c r="B50" s="30"/>
      <c r="C50" s="31"/>
      <c r="D50" s="31"/>
      <c r="E50" s="32"/>
      <c r="F50" s="1"/>
    </row>
    <row r="51" customFormat="false" ht="15" hidden="false" customHeight="false" outlineLevel="0" collapsed="false">
      <c r="A51" s="1"/>
      <c r="B51" s="30"/>
      <c r="C51" s="31"/>
      <c r="D51" s="31"/>
      <c r="E51" s="32"/>
      <c r="F51" s="1"/>
    </row>
    <row r="52" customFormat="false" ht="15" hidden="false" customHeight="false" outlineLevel="0" collapsed="false">
      <c r="A52" s="1"/>
      <c r="B52" s="30"/>
      <c r="C52" s="31"/>
      <c r="D52" s="31"/>
      <c r="E52" s="32"/>
      <c r="F52" s="1"/>
    </row>
    <row r="53" customFormat="false" ht="15" hidden="false" customHeight="false" outlineLevel="0" collapsed="false">
      <c r="A53" s="1"/>
      <c r="B53" s="30"/>
      <c r="C53" s="31"/>
      <c r="D53" s="31"/>
      <c r="E53" s="32"/>
      <c r="F53" s="1"/>
    </row>
    <row r="54" customFormat="false" ht="15" hidden="false" customHeight="false" outlineLevel="0" collapsed="false">
      <c r="A54" s="1"/>
      <c r="B54" s="30"/>
      <c r="C54" s="31"/>
      <c r="D54" s="31"/>
      <c r="E54" s="32"/>
      <c r="F54" s="1"/>
    </row>
    <row r="55" customFormat="false" ht="15" hidden="false" customHeight="false" outlineLevel="0" collapsed="false">
      <c r="A55" s="1"/>
      <c r="B55" s="30"/>
      <c r="C55" s="31"/>
      <c r="D55" s="31"/>
      <c r="E55" s="32"/>
      <c r="F55" s="1"/>
    </row>
    <row r="56" customFormat="false" ht="15" hidden="false" customHeight="false" outlineLevel="0" collapsed="false">
      <c r="A56" s="1"/>
      <c r="B56" s="30"/>
      <c r="C56" s="31"/>
      <c r="D56" s="31"/>
      <c r="E56" s="32"/>
      <c r="F56" s="1"/>
    </row>
    <row r="57" customFormat="false" ht="15" hidden="false" customHeight="false" outlineLevel="0" collapsed="false">
      <c r="A57" s="1"/>
      <c r="B57" s="30"/>
      <c r="C57" s="31"/>
      <c r="D57" s="31"/>
      <c r="E57" s="32"/>
      <c r="F57" s="1"/>
    </row>
    <row r="58" customFormat="false" ht="15" hidden="false" customHeight="false" outlineLevel="0" collapsed="false">
      <c r="A58" s="1"/>
      <c r="B58" s="30"/>
      <c r="C58" s="31"/>
      <c r="D58" s="31"/>
      <c r="E58" s="32"/>
      <c r="F58" s="1"/>
    </row>
    <row r="59" customFormat="false" ht="15" hidden="false" customHeight="false" outlineLevel="0" collapsed="false">
      <c r="A59" s="1"/>
      <c r="B59" s="30"/>
      <c r="C59" s="31"/>
      <c r="D59" s="31"/>
      <c r="E59" s="32"/>
      <c r="F59" s="1"/>
    </row>
    <row r="60" customFormat="false" ht="15" hidden="false" customHeight="false" outlineLevel="0" collapsed="false">
      <c r="A60" s="1"/>
      <c r="B60" s="30"/>
      <c r="C60" s="31"/>
      <c r="D60" s="31"/>
      <c r="E60" s="32"/>
      <c r="F60" s="1"/>
    </row>
    <row r="61" customFormat="false" ht="15" hidden="false" customHeight="false" outlineLevel="0" collapsed="false">
      <c r="A61" s="1"/>
      <c r="B61" s="30"/>
      <c r="C61" s="31"/>
      <c r="D61" s="31"/>
      <c r="E61" s="32"/>
      <c r="F61" s="1"/>
    </row>
    <row r="62" customFormat="false" ht="15" hidden="false" customHeight="false" outlineLevel="0" collapsed="false">
      <c r="A62" s="1"/>
      <c r="B62" s="30"/>
      <c r="C62" s="31"/>
      <c r="D62" s="31"/>
      <c r="E62" s="32"/>
      <c r="F62" s="1"/>
    </row>
    <row r="63" customFormat="false" ht="15" hidden="false" customHeight="false" outlineLevel="0" collapsed="false">
      <c r="A63" s="1"/>
      <c r="B63" s="30"/>
      <c r="C63" s="31"/>
      <c r="D63" s="31"/>
      <c r="E63" s="32"/>
      <c r="F63" s="1"/>
    </row>
    <row r="64" customFormat="false" ht="15" hidden="false" customHeight="false" outlineLevel="0" collapsed="false">
      <c r="A64" s="1"/>
      <c r="B64" s="30"/>
      <c r="C64" s="31"/>
      <c r="D64" s="31"/>
      <c r="E64" s="32"/>
      <c r="F64" s="1"/>
    </row>
    <row r="65" customFormat="false" ht="15" hidden="false" customHeight="false" outlineLevel="0" collapsed="false">
      <c r="A65" s="1"/>
      <c r="B65" s="30"/>
      <c r="C65" s="31"/>
      <c r="D65" s="31"/>
      <c r="E65" s="32"/>
      <c r="F65" s="1"/>
    </row>
    <row r="66" customFormat="false" ht="15" hidden="false" customHeight="false" outlineLevel="0" collapsed="false">
      <c r="A66" s="1"/>
      <c r="B66" s="30"/>
      <c r="C66" s="31"/>
      <c r="D66" s="31"/>
      <c r="E66" s="32"/>
      <c r="F66" s="1"/>
    </row>
    <row r="67" customFormat="false" ht="15" hidden="false" customHeight="false" outlineLevel="0" collapsed="false">
      <c r="A67" s="1"/>
      <c r="B67" s="30"/>
      <c r="C67" s="31"/>
      <c r="D67" s="31"/>
      <c r="E67" s="32"/>
      <c r="F67" s="1"/>
    </row>
    <row r="68" customFormat="false" ht="15" hidden="false" customHeight="false" outlineLevel="0" collapsed="false">
      <c r="A68" s="1"/>
      <c r="B68" s="30"/>
      <c r="C68" s="31"/>
      <c r="D68" s="31"/>
      <c r="E68" s="32"/>
      <c r="F68" s="1"/>
    </row>
    <row r="69" customFormat="false" ht="15" hidden="false" customHeight="false" outlineLevel="0" collapsed="false">
      <c r="A69" s="1"/>
      <c r="B69" s="30"/>
      <c r="C69" s="31"/>
      <c r="D69" s="31"/>
      <c r="E69" s="32"/>
      <c r="F69" s="1"/>
    </row>
    <row r="70" customFormat="false" ht="15" hidden="false" customHeight="false" outlineLevel="0" collapsed="false">
      <c r="A70" s="1"/>
      <c r="B70" s="30"/>
      <c r="C70" s="31"/>
      <c r="D70" s="31"/>
      <c r="E70" s="32"/>
      <c r="F70" s="1"/>
    </row>
    <row r="71" customFormat="false" ht="15" hidden="false" customHeight="false" outlineLevel="0" collapsed="false">
      <c r="A71" s="1"/>
      <c r="B71" s="30"/>
      <c r="C71" s="31"/>
      <c r="D71" s="31"/>
      <c r="E71" s="32"/>
      <c r="F71" s="1"/>
    </row>
    <row r="72" customFormat="false" ht="15" hidden="false" customHeight="false" outlineLevel="0" collapsed="false">
      <c r="A72" s="1"/>
      <c r="B72" s="30"/>
      <c r="C72" s="31"/>
      <c r="D72" s="31"/>
      <c r="E72" s="32"/>
      <c r="F72" s="1"/>
    </row>
    <row r="73" customFormat="false" ht="15" hidden="false" customHeight="false" outlineLevel="0" collapsed="false">
      <c r="A73" s="1"/>
      <c r="B73" s="30"/>
      <c r="C73" s="31"/>
      <c r="D73" s="31"/>
      <c r="E73" s="32"/>
      <c r="F73" s="1"/>
    </row>
    <row r="74" customFormat="false" ht="15" hidden="false" customHeight="false" outlineLevel="0" collapsed="false">
      <c r="A74" s="1"/>
      <c r="B74" s="30"/>
      <c r="C74" s="31"/>
      <c r="D74" s="31"/>
      <c r="E74" s="32"/>
      <c r="F74" s="1"/>
    </row>
    <row r="75" customFormat="false" ht="15" hidden="false" customHeight="false" outlineLevel="0" collapsed="false">
      <c r="A75" s="1"/>
      <c r="B75" s="30"/>
      <c r="C75" s="31"/>
      <c r="D75" s="31"/>
      <c r="E75" s="32"/>
      <c r="F75" s="1"/>
    </row>
    <row r="76" customFormat="false" ht="15" hidden="false" customHeight="false" outlineLevel="0" collapsed="false">
      <c r="A76" s="1"/>
      <c r="B76" s="30"/>
      <c r="C76" s="31"/>
      <c r="D76" s="31"/>
      <c r="E76" s="32"/>
      <c r="F76" s="1"/>
    </row>
    <row r="77" customFormat="false" ht="15" hidden="false" customHeight="false" outlineLevel="0" collapsed="false">
      <c r="A77" s="1"/>
      <c r="B77" s="30"/>
      <c r="C77" s="31"/>
      <c r="D77" s="31"/>
      <c r="E77" s="32"/>
      <c r="F77" s="1"/>
    </row>
    <row r="78" customFormat="false" ht="15" hidden="false" customHeight="false" outlineLevel="0" collapsed="false">
      <c r="A78" s="1"/>
      <c r="B78" s="30"/>
      <c r="C78" s="31"/>
      <c r="D78" s="31"/>
      <c r="E78" s="32"/>
      <c r="F78" s="1"/>
    </row>
    <row r="79" customFormat="false" ht="15" hidden="false" customHeight="false" outlineLevel="0" collapsed="false">
      <c r="A79" s="1"/>
      <c r="B79" s="30"/>
      <c r="C79" s="31"/>
      <c r="D79" s="31"/>
      <c r="E79" s="32"/>
      <c r="F79" s="1"/>
    </row>
    <row r="80" customFormat="false" ht="15" hidden="false" customHeight="false" outlineLevel="0" collapsed="false">
      <c r="A80" s="1"/>
      <c r="B80" s="30"/>
      <c r="C80" s="31"/>
      <c r="D80" s="31"/>
      <c r="E80" s="32"/>
      <c r="F80" s="1"/>
    </row>
    <row r="81" customFormat="false" ht="15" hidden="false" customHeight="false" outlineLevel="0" collapsed="false">
      <c r="A81" s="1"/>
      <c r="B81" s="30"/>
      <c r="C81" s="31"/>
      <c r="D81" s="31"/>
      <c r="E81" s="32"/>
      <c r="F81" s="1"/>
    </row>
    <row r="82" customFormat="false" ht="15" hidden="false" customHeight="false" outlineLevel="0" collapsed="false">
      <c r="A82" s="1"/>
      <c r="B82" s="30"/>
      <c r="C82" s="31"/>
      <c r="D82" s="31"/>
      <c r="E82" s="32"/>
      <c r="F82" s="1"/>
    </row>
    <row r="83" customFormat="false" ht="15" hidden="false" customHeight="false" outlineLevel="0" collapsed="false">
      <c r="A83" s="1"/>
      <c r="B83" s="30"/>
      <c r="C83" s="31"/>
      <c r="D83" s="31"/>
      <c r="E83" s="32"/>
      <c r="F83" s="1"/>
    </row>
    <row r="84" customFormat="false" ht="15" hidden="false" customHeight="false" outlineLevel="0" collapsed="false">
      <c r="A84" s="1"/>
      <c r="B84" s="30"/>
      <c r="C84" s="31"/>
      <c r="D84" s="31"/>
      <c r="E84" s="32"/>
      <c r="F84" s="1"/>
    </row>
    <row r="85" customFormat="false" ht="15" hidden="false" customHeight="false" outlineLevel="0" collapsed="false">
      <c r="A85" s="1"/>
      <c r="B85" s="30"/>
      <c r="C85" s="31"/>
      <c r="D85" s="31"/>
      <c r="E85" s="32"/>
      <c r="F85" s="1"/>
    </row>
    <row r="86" customFormat="false" ht="15" hidden="false" customHeight="false" outlineLevel="0" collapsed="false">
      <c r="A86" s="1"/>
      <c r="B86" s="30"/>
      <c r="C86" s="31"/>
      <c r="D86" s="31"/>
      <c r="E86" s="32"/>
      <c r="F86" s="1"/>
    </row>
    <row r="87" customFormat="false" ht="15" hidden="false" customHeight="false" outlineLevel="0" collapsed="false">
      <c r="A87" s="1"/>
      <c r="B87" s="30"/>
      <c r="C87" s="31"/>
      <c r="D87" s="31"/>
      <c r="E87" s="32"/>
      <c r="F87" s="1"/>
    </row>
    <row r="88" customFormat="false" ht="15" hidden="false" customHeight="false" outlineLevel="0" collapsed="false">
      <c r="A88" s="1"/>
      <c r="B88" s="30"/>
      <c r="C88" s="31"/>
      <c r="D88" s="31"/>
      <c r="E88" s="32"/>
      <c r="F88" s="1"/>
    </row>
    <row r="89" customFormat="false" ht="15" hidden="false" customHeight="false" outlineLevel="0" collapsed="false">
      <c r="A89" s="1"/>
      <c r="B89" s="30"/>
      <c r="C89" s="31"/>
      <c r="D89" s="31"/>
      <c r="E89" s="32"/>
      <c r="F89" s="1"/>
    </row>
    <row r="90" customFormat="false" ht="15" hidden="false" customHeight="false" outlineLevel="0" collapsed="false">
      <c r="A90" s="1"/>
      <c r="B90" s="30"/>
      <c r="C90" s="31"/>
      <c r="D90" s="31"/>
      <c r="E90" s="32"/>
      <c r="F90" s="1"/>
    </row>
    <row r="91" customFormat="false" ht="15" hidden="false" customHeight="false" outlineLevel="0" collapsed="false">
      <c r="A91" s="1"/>
      <c r="B91" s="30"/>
      <c r="C91" s="31"/>
      <c r="D91" s="31"/>
      <c r="E91" s="32"/>
      <c r="F91" s="1"/>
    </row>
    <row r="92" customFormat="false" ht="15" hidden="false" customHeight="false" outlineLevel="0" collapsed="false">
      <c r="A92" s="1"/>
      <c r="B92" s="30"/>
      <c r="C92" s="31"/>
      <c r="D92" s="31"/>
      <c r="E92" s="32"/>
      <c r="F92" s="1"/>
    </row>
    <row r="93" customFormat="false" ht="15" hidden="false" customHeight="false" outlineLevel="0" collapsed="false">
      <c r="A93" s="1"/>
      <c r="B93" s="30"/>
      <c r="C93" s="31"/>
      <c r="D93" s="31"/>
      <c r="E93" s="32"/>
      <c r="F93" s="1"/>
    </row>
    <row r="94" customFormat="false" ht="15" hidden="false" customHeight="false" outlineLevel="0" collapsed="false">
      <c r="A94" s="1"/>
      <c r="B94" s="30"/>
      <c r="C94" s="31"/>
      <c r="D94" s="31"/>
      <c r="E94" s="32"/>
      <c r="F94" s="1"/>
    </row>
    <row r="95" customFormat="false" ht="15" hidden="false" customHeight="false" outlineLevel="0" collapsed="false">
      <c r="A95" s="1"/>
      <c r="B95" s="30"/>
      <c r="C95" s="31"/>
      <c r="D95" s="31"/>
      <c r="E95" s="32"/>
      <c r="F95" s="1"/>
    </row>
    <row r="96" customFormat="false" ht="15" hidden="false" customHeight="false" outlineLevel="0" collapsed="false">
      <c r="A96" s="1"/>
      <c r="B96" s="30"/>
      <c r="C96" s="31"/>
      <c r="D96" s="31"/>
      <c r="E96" s="32"/>
      <c r="F96" s="1"/>
    </row>
    <row r="97" customFormat="false" ht="15" hidden="false" customHeight="false" outlineLevel="0" collapsed="false">
      <c r="A97" s="1"/>
      <c r="B97" s="30"/>
      <c r="C97" s="31"/>
      <c r="D97" s="31"/>
      <c r="E97" s="32"/>
      <c r="F97" s="1"/>
    </row>
    <row r="98" customFormat="false" ht="15" hidden="false" customHeight="false" outlineLevel="0" collapsed="false">
      <c r="A98" s="1"/>
      <c r="B98" s="30"/>
      <c r="C98" s="31"/>
      <c r="D98" s="31"/>
      <c r="E98" s="32"/>
      <c r="F98" s="1"/>
    </row>
    <row r="99" customFormat="false" ht="15" hidden="false" customHeight="false" outlineLevel="0" collapsed="false">
      <c r="A99" s="1"/>
      <c r="B99" s="30"/>
      <c r="C99" s="31"/>
      <c r="D99" s="31"/>
      <c r="E99" s="32"/>
      <c r="F99" s="1"/>
    </row>
    <row r="100" customFormat="false" ht="15" hidden="false" customHeight="false" outlineLevel="0" collapsed="false">
      <c r="A100" s="1"/>
      <c r="B100" s="30"/>
      <c r="C100" s="31"/>
      <c r="D100" s="31"/>
      <c r="E100" s="32"/>
      <c r="F100" s="1"/>
    </row>
    <row r="101" customFormat="false" ht="15" hidden="false" customHeight="false" outlineLevel="0" collapsed="false">
      <c r="A101" s="1"/>
      <c r="B101" s="30"/>
      <c r="C101" s="31"/>
      <c r="D101" s="31"/>
      <c r="E101" s="32"/>
      <c r="F101" s="1"/>
    </row>
    <row r="102" customFormat="false" ht="15" hidden="false" customHeight="false" outlineLevel="0" collapsed="false">
      <c r="A102" s="1"/>
      <c r="B102" s="30"/>
      <c r="C102" s="31"/>
      <c r="D102" s="31"/>
      <c r="E102" s="32"/>
      <c r="F102" s="1"/>
    </row>
    <row r="103" customFormat="false" ht="15" hidden="false" customHeight="false" outlineLevel="0" collapsed="false">
      <c r="A103" s="1"/>
      <c r="B103" s="30"/>
      <c r="C103" s="31"/>
      <c r="D103" s="31"/>
      <c r="E103" s="32"/>
      <c r="F103" s="1"/>
    </row>
    <row r="104" customFormat="false" ht="15" hidden="false" customHeight="false" outlineLevel="0" collapsed="false">
      <c r="A104" s="1"/>
      <c r="B104" s="30"/>
      <c r="C104" s="31"/>
      <c r="D104" s="31"/>
      <c r="E104" s="32"/>
      <c r="F104" s="1"/>
    </row>
    <row r="105" customFormat="false" ht="15" hidden="false" customHeight="false" outlineLevel="0" collapsed="false">
      <c r="A105" s="1"/>
      <c r="B105" s="30"/>
      <c r="C105" s="31"/>
      <c r="D105" s="31"/>
      <c r="E105" s="32"/>
      <c r="F105" s="1"/>
    </row>
    <row r="106" customFormat="false" ht="15" hidden="false" customHeight="false" outlineLevel="0" collapsed="false">
      <c r="A106" s="1"/>
      <c r="B106" s="30"/>
      <c r="C106" s="31"/>
      <c r="D106" s="31"/>
      <c r="E106" s="32"/>
      <c r="F106" s="1"/>
    </row>
    <row r="107" customFormat="false" ht="15" hidden="false" customHeight="false" outlineLevel="0" collapsed="false">
      <c r="A107" s="1"/>
      <c r="B107" s="30"/>
      <c r="C107" s="31"/>
      <c r="D107" s="31"/>
      <c r="E107" s="32"/>
      <c r="F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</row>
    <row r="109" customFormat="false" ht="15" hidden="false" customHeight="false" outlineLevel="0" collapsed="false">
      <c r="A109" s="1"/>
      <c r="B109" s="10" t="s">
        <v>49</v>
      </c>
      <c r="C109" s="1"/>
      <c r="D109" s="1"/>
      <c r="E109" s="1"/>
      <c r="F109" s="1"/>
    </row>
  </sheetData>
  <dataValidations count="1">
    <dataValidation allowBlank="true" error="Type a date, like 03/11/2026." errorStyle="stop" operator="greaterThan" showDropDown="false" showErrorMessage="true" showInputMessage="false" sqref="B8:B107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BBBBB"/>
    <pageSetUpPr fitToPage="false"/>
  </sheetPr>
  <dimension ref="A1:G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5" min="3" style="0" width="16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</row>
    <row r="2" customFormat="false" ht="39.75" hidden="false" customHeight="true" outlineLevel="0" collapsed="false">
      <c r="A2" s="1"/>
      <c r="B2" s="2" t="s">
        <v>32</v>
      </c>
      <c r="C2" s="1"/>
      <c r="D2" s="1"/>
      <c r="E2" s="1"/>
      <c r="F2" s="1"/>
      <c r="G2" s="1"/>
    </row>
    <row r="3" customFormat="false" ht="15" hidden="false" customHeight="false" outlineLevel="0" collapsed="false">
      <c r="A3" s="1"/>
      <c r="B3" s="3" t="s">
        <v>50</v>
      </c>
      <c r="C3" s="1"/>
      <c r="D3" s="1"/>
      <c r="E3" s="1"/>
      <c r="F3" s="1"/>
      <c r="G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</row>
    <row r="6" customFormat="false" ht="15" hidden="false" customHeight="false" outlineLevel="0" collapsed="false">
      <c r="A6" s="1"/>
      <c r="B6" s="29" t="s">
        <v>51</v>
      </c>
      <c r="C6" s="29" t="s">
        <v>52</v>
      </c>
      <c r="D6" s="29" t="s">
        <v>53</v>
      </c>
      <c r="E6" s="29" t="s">
        <v>54</v>
      </c>
      <c r="F6" s="29" t="s">
        <v>55</v>
      </c>
      <c r="G6" s="1"/>
    </row>
    <row r="7" customFormat="false" ht="15" hidden="false" customHeight="false" outlineLevel="0" collapsed="false">
      <c r="A7" s="1"/>
      <c r="B7" s="18" t="s">
        <v>56</v>
      </c>
      <c r="C7" s="18" t="s">
        <v>57</v>
      </c>
      <c r="D7" s="18" t="s">
        <v>58</v>
      </c>
      <c r="E7" s="18" t="s">
        <v>59</v>
      </c>
      <c r="F7" s="1"/>
      <c r="G7" s="1"/>
    </row>
    <row r="8" customFormat="false" ht="15" hidden="false" customHeight="false" outlineLevel="0" collapsed="false">
      <c r="A8" s="1"/>
      <c r="B8" s="32"/>
      <c r="C8" s="31"/>
      <c r="D8" s="30"/>
      <c r="E8" s="30"/>
      <c r="F8" s="15" t="str">
        <f aca="true">IF(C8="","",IF(E8&lt;&gt;"","paid ✓ — nice",IF(D8="","waiting",IF(D8&lt;TODAY(),"overdue "&amp;(TODAY()-D8)&amp;" days — chase gently","due in "&amp;(D8-TODAY())&amp;" days"))))</f>
        <v/>
      </c>
      <c r="G8" s="1"/>
    </row>
    <row r="9" customFormat="false" ht="15" hidden="false" customHeight="false" outlineLevel="0" collapsed="false">
      <c r="A9" s="1"/>
      <c r="B9" s="32"/>
      <c r="C9" s="31"/>
      <c r="D9" s="30"/>
      <c r="E9" s="30"/>
      <c r="F9" s="15" t="str">
        <f aca="true">IF(C9="","",IF(E9&lt;&gt;"","paid ✓ — nice",IF(D9="","waiting",IF(D9&lt;TODAY(),"overdue "&amp;(TODAY()-D9)&amp;" days — chase gently","due in "&amp;(D9-TODAY())&amp;" days"))))</f>
        <v/>
      </c>
      <c r="G9" s="1"/>
    </row>
    <row r="10" customFormat="false" ht="15" hidden="false" customHeight="false" outlineLevel="0" collapsed="false">
      <c r="A10" s="1"/>
      <c r="B10" s="32"/>
      <c r="C10" s="31"/>
      <c r="D10" s="30"/>
      <c r="E10" s="30"/>
      <c r="F10" s="15" t="str">
        <f aca="true">IF(C10="","",IF(E10&lt;&gt;"","paid ✓ — nice",IF(D10="","waiting",IF(D10&lt;TODAY(),"overdue "&amp;(TODAY()-D10)&amp;" days — chase gently","due in "&amp;(D10-TODAY())&amp;" days"))))</f>
        <v/>
      </c>
      <c r="G10" s="1"/>
    </row>
    <row r="11" customFormat="false" ht="15" hidden="false" customHeight="false" outlineLevel="0" collapsed="false">
      <c r="A11" s="1"/>
      <c r="B11" s="32"/>
      <c r="C11" s="31"/>
      <c r="D11" s="30"/>
      <c r="E11" s="30"/>
      <c r="F11" s="15" t="str">
        <f aca="true">IF(C11="","",IF(E11&lt;&gt;"","paid ✓ — nice",IF(D11="","waiting",IF(D11&lt;TODAY(),"overdue "&amp;(TODAY()-D11)&amp;" days — chase gently","due in "&amp;(D11-TODAY())&amp;" days"))))</f>
        <v/>
      </c>
      <c r="G11" s="1"/>
    </row>
    <row r="12" customFormat="false" ht="15" hidden="false" customHeight="false" outlineLevel="0" collapsed="false">
      <c r="A12" s="1"/>
      <c r="B12" s="32"/>
      <c r="C12" s="31"/>
      <c r="D12" s="30"/>
      <c r="E12" s="30"/>
      <c r="F12" s="15" t="str">
        <f aca="true">IF(C12="","",IF(E12&lt;&gt;"","paid ✓ — nice",IF(D12="","waiting",IF(D12&lt;TODAY(),"overdue "&amp;(TODAY()-D12)&amp;" days — chase gently","due in "&amp;(D12-TODAY())&amp;" days"))))</f>
        <v/>
      </c>
      <c r="G12" s="1"/>
    </row>
    <row r="13" customFormat="false" ht="15" hidden="false" customHeight="false" outlineLevel="0" collapsed="false">
      <c r="A13" s="1"/>
      <c r="B13" s="32"/>
      <c r="C13" s="31"/>
      <c r="D13" s="30"/>
      <c r="E13" s="30"/>
      <c r="F13" s="15" t="str">
        <f aca="true">IF(C13="","",IF(E13&lt;&gt;"","paid ✓ — nice",IF(D13="","waiting",IF(D13&lt;TODAY(),"overdue "&amp;(TODAY()-D13)&amp;" days — chase gently","due in "&amp;(D13-TODAY())&amp;" days"))))</f>
        <v/>
      </c>
      <c r="G13" s="1"/>
    </row>
    <row r="14" customFormat="false" ht="15" hidden="false" customHeight="false" outlineLevel="0" collapsed="false">
      <c r="A14" s="1"/>
      <c r="B14" s="32"/>
      <c r="C14" s="31"/>
      <c r="D14" s="30"/>
      <c r="E14" s="30"/>
      <c r="F14" s="15" t="str">
        <f aca="true">IF(C14="","",IF(E14&lt;&gt;"","paid ✓ — nice",IF(D14="","waiting",IF(D14&lt;TODAY(),"overdue "&amp;(TODAY()-D14)&amp;" days — chase gently","due in "&amp;(D14-TODAY())&amp;" days"))))</f>
        <v/>
      </c>
      <c r="G14" s="1"/>
    </row>
    <row r="15" customFormat="false" ht="15" hidden="false" customHeight="false" outlineLevel="0" collapsed="false">
      <c r="A15" s="1"/>
      <c r="B15" s="32"/>
      <c r="C15" s="31"/>
      <c r="D15" s="30"/>
      <c r="E15" s="30"/>
      <c r="F15" s="15" t="str">
        <f aca="true">IF(C15="","",IF(E15&lt;&gt;"","paid ✓ — nice",IF(D15="","waiting",IF(D15&lt;TODAY(),"overdue "&amp;(TODAY()-D15)&amp;" days — chase gently","due in "&amp;(D15-TODAY())&amp;" days"))))</f>
        <v/>
      </c>
      <c r="G15" s="1"/>
    </row>
    <row r="16" customFormat="false" ht="15" hidden="false" customHeight="false" outlineLevel="0" collapsed="false">
      <c r="A16" s="1"/>
      <c r="B16" s="32"/>
      <c r="C16" s="31"/>
      <c r="D16" s="30"/>
      <c r="E16" s="30"/>
      <c r="F16" s="15" t="str">
        <f aca="true">IF(C16="","",IF(E16&lt;&gt;"","paid ✓ — nice",IF(D16="","waiting",IF(D16&lt;TODAY(),"overdue "&amp;(TODAY()-D16)&amp;" days — chase gently","due in "&amp;(D16-TODAY())&amp;" days"))))</f>
        <v/>
      </c>
      <c r="G16" s="1"/>
    </row>
    <row r="17" customFormat="false" ht="15" hidden="false" customHeight="false" outlineLevel="0" collapsed="false">
      <c r="A17" s="1"/>
      <c r="B17" s="32"/>
      <c r="C17" s="31"/>
      <c r="D17" s="30"/>
      <c r="E17" s="30"/>
      <c r="F17" s="15" t="str">
        <f aca="true">IF(C17="","",IF(E17&lt;&gt;"","paid ✓ — nice",IF(D17="","waiting",IF(D17&lt;TODAY(),"overdue "&amp;(TODAY()-D17)&amp;" days — chase gently","due in "&amp;(D17-TODAY())&amp;" days"))))</f>
        <v/>
      </c>
      <c r="G17" s="1"/>
    </row>
    <row r="18" customFormat="false" ht="15" hidden="false" customHeight="false" outlineLevel="0" collapsed="false">
      <c r="A18" s="1"/>
      <c r="B18" s="32"/>
      <c r="C18" s="31"/>
      <c r="D18" s="30"/>
      <c r="E18" s="30"/>
      <c r="F18" s="15" t="str">
        <f aca="true">IF(C18="","",IF(E18&lt;&gt;"","paid ✓ — nice",IF(D18="","waiting",IF(D18&lt;TODAY(),"overdue "&amp;(TODAY()-D18)&amp;" days — chase gently","due in "&amp;(D18-TODAY())&amp;" days"))))</f>
        <v/>
      </c>
      <c r="G18" s="1"/>
    </row>
    <row r="19" customFormat="false" ht="15" hidden="false" customHeight="false" outlineLevel="0" collapsed="false">
      <c r="A19" s="1"/>
      <c r="B19" s="32"/>
      <c r="C19" s="31"/>
      <c r="D19" s="30"/>
      <c r="E19" s="30"/>
      <c r="F19" s="15" t="str">
        <f aca="true">IF(C19="","",IF(E19&lt;&gt;"","paid ✓ — nice",IF(D19="","waiting",IF(D19&lt;TODAY(),"overdue "&amp;(TODAY()-D19)&amp;" days — chase gently","due in "&amp;(D19-TODAY())&amp;" days"))))</f>
        <v/>
      </c>
      <c r="G19" s="1"/>
    </row>
    <row r="20" customFormat="false" ht="15" hidden="false" customHeight="false" outlineLevel="0" collapsed="false">
      <c r="A20" s="1"/>
      <c r="B20" s="32"/>
      <c r="C20" s="31"/>
      <c r="D20" s="30"/>
      <c r="E20" s="30"/>
      <c r="F20" s="15" t="str">
        <f aca="true">IF(C20="","",IF(E20&lt;&gt;"","paid ✓ — nice",IF(D20="","waiting",IF(D20&lt;TODAY(),"overdue "&amp;(TODAY()-D20)&amp;" days — chase gently","due in "&amp;(D20-TODAY())&amp;" days"))))</f>
        <v/>
      </c>
      <c r="G20" s="1"/>
    </row>
    <row r="21" customFormat="false" ht="15" hidden="false" customHeight="false" outlineLevel="0" collapsed="false">
      <c r="A21" s="1"/>
      <c r="B21" s="32"/>
      <c r="C21" s="31"/>
      <c r="D21" s="30"/>
      <c r="E21" s="30"/>
      <c r="F21" s="15" t="str">
        <f aca="true">IF(C21="","",IF(E21&lt;&gt;"","paid ✓ — nice",IF(D21="","waiting",IF(D21&lt;TODAY(),"overdue "&amp;(TODAY()-D21)&amp;" days — chase gently","due in "&amp;(D21-TODAY())&amp;" days"))))</f>
        <v/>
      </c>
      <c r="G21" s="1"/>
    </row>
    <row r="22" customFormat="false" ht="15" hidden="false" customHeight="false" outlineLevel="0" collapsed="false">
      <c r="A22" s="1"/>
      <c r="B22" s="32"/>
      <c r="C22" s="31"/>
      <c r="D22" s="30"/>
      <c r="E22" s="30"/>
      <c r="F22" s="15" t="str">
        <f aca="true">IF(C22="","",IF(E22&lt;&gt;"","paid ✓ — nice",IF(D22="","waiting",IF(D22&lt;TODAY(),"overdue "&amp;(TODAY()-D22)&amp;" days — chase gently","due in "&amp;(D22-TODAY())&amp;" days"))))</f>
        <v/>
      </c>
      <c r="G22" s="1"/>
    </row>
    <row r="23" customFormat="false" ht="15" hidden="false" customHeight="false" outlineLevel="0" collapsed="false">
      <c r="A23" s="1"/>
      <c r="B23" s="32"/>
      <c r="C23" s="31"/>
      <c r="D23" s="30"/>
      <c r="E23" s="30"/>
      <c r="F23" s="15" t="str">
        <f aca="true">IF(C23="","",IF(E23&lt;&gt;"","paid ✓ — nice",IF(D23="","waiting",IF(D23&lt;TODAY(),"overdue "&amp;(TODAY()-D23)&amp;" days — chase gently","due in "&amp;(D23-TODAY())&amp;" days"))))</f>
        <v/>
      </c>
      <c r="G23" s="1"/>
    </row>
    <row r="24" customFormat="false" ht="15" hidden="false" customHeight="false" outlineLevel="0" collapsed="false">
      <c r="A24" s="1"/>
      <c r="B24" s="32"/>
      <c r="C24" s="31"/>
      <c r="D24" s="30"/>
      <c r="E24" s="30"/>
      <c r="F24" s="15" t="str">
        <f aca="true">IF(C24="","",IF(E24&lt;&gt;"","paid ✓ — nice",IF(D24="","waiting",IF(D24&lt;TODAY(),"overdue "&amp;(TODAY()-D24)&amp;" days — chase gently","due in "&amp;(D24-TODAY())&amp;" days"))))</f>
        <v/>
      </c>
      <c r="G24" s="1"/>
    </row>
    <row r="25" customFormat="false" ht="15" hidden="false" customHeight="false" outlineLevel="0" collapsed="false">
      <c r="A25" s="1"/>
      <c r="B25" s="32"/>
      <c r="C25" s="31"/>
      <c r="D25" s="30"/>
      <c r="E25" s="30"/>
      <c r="F25" s="15" t="str">
        <f aca="true">IF(C25="","",IF(E25&lt;&gt;"","paid ✓ — nice",IF(D25="","waiting",IF(D25&lt;TODAY(),"overdue "&amp;(TODAY()-D25)&amp;" days — chase gently","due in "&amp;(D25-TODAY())&amp;" days"))))</f>
        <v/>
      </c>
      <c r="G25" s="1"/>
    </row>
    <row r="26" customFormat="false" ht="15" hidden="false" customHeight="false" outlineLevel="0" collapsed="false">
      <c r="A26" s="1"/>
      <c r="B26" s="32"/>
      <c r="C26" s="31"/>
      <c r="D26" s="30"/>
      <c r="E26" s="30"/>
      <c r="F26" s="15" t="str">
        <f aca="true">IF(C26="","",IF(E26&lt;&gt;"","paid ✓ — nice",IF(D26="","waiting",IF(D26&lt;TODAY(),"overdue "&amp;(TODAY()-D26)&amp;" days — chase gently","due in "&amp;(D26-TODAY())&amp;" days"))))</f>
        <v/>
      </c>
      <c r="G26" s="1"/>
    </row>
    <row r="27" customFormat="false" ht="15" hidden="false" customHeight="false" outlineLevel="0" collapsed="false">
      <c r="A27" s="1"/>
      <c r="B27" s="32"/>
      <c r="C27" s="31"/>
      <c r="D27" s="30"/>
      <c r="E27" s="30"/>
      <c r="F27" s="15" t="str">
        <f aca="true">IF(C27="","",IF(E27&lt;&gt;"","paid ✓ — nice",IF(D27="","waiting",IF(D27&lt;TODAY(),"overdue "&amp;(TODAY()-D27)&amp;" days — chase gently","due in "&amp;(D27-TODAY())&amp;" days"))))</f>
        <v/>
      </c>
      <c r="G27" s="1"/>
    </row>
    <row r="28" customFormat="false" ht="15" hidden="false" customHeight="false" outlineLevel="0" collapsed="false">
      <c r="A28" s="1"/>
      <c r="B28" s="32"/>
      <c r="C28" s="31"/>
      <c r="D28" s="30"/>
      <c r="E28" s="30"/>
      <c r="F28" s="15" t="str">
        <f aca="true">IF(C28="","",IF(E28&lt;&gt;"","paid ✓ — nice",IF(D28="","waiting",IF(D28&lt;TODAY(),"overdue "&amp;(TODAY()-D28)&amp;" days — chase gently","due in "&amp;(D28-TODAY())&amp;" days"))))</f>
        <v/>
      </c>
      <c r="G28" s="1"/>
    </row>
    <row r="29" customFormat="false" ht="15" hidden="false" customHeight="false" outlineLevel="0" collapsed="false">
      <c r="A29" s="1"/>
      <c r="B29" s="32"/>
      <c r="C29" s="31"/>
      <c r="D29" s="30"/>
      <c r="E29" s="30"/>
      <c r="F29" s="15" t="str">
        <f aca="true">IF(C29="","",IF(E29&lt;&gt;"","paid ✓ — nice",IF(D29="","waiting",IF(D29&lt;TODAY(),"overdue "&amp;(TODAY()-D29)&amp;" days — chase gently","due in "&amp;(D29-TODAY())&amp;" days"))))</f>
        <v/>
      </c>
      <c r="G29" s="1"/>
    </row>
    <row r="30" customFormat="false" ht="15" hidden="false" customHeight="false" outlineLevel="0" collapsed="false">
      <c r="A30" s="1"/>
      <c r="B30" s="32"/>
      <c r="C30" s="31"/>
      <c r="D30" s="30"/>
      <c r="E30" s="30"/>
      <c r="F30" s="15" t="str">
        <f aca="true">IF(C30="","",IF(E30&lt;&gt;"","paid ✓ — nice",IF(D30="","waiting",IF(D30&lt;TODAY(),"overdue "&amp;(TODAY()-D30)&amp;" days — chase gently","due in "&amp;(D30-TODAY())&amp;" days"))))</f>
        <v/>
      </c>
      <c r="G30" s="1"/>
    </row>
    <row r="31" customFormat="false" ht="15" hidden="false" customHeight="false" outlineLevel="0" collapsed="false">
      <c r="A31" s="1"/>
      <c r="B31" s="32"/>
      <c r="C31" s="31"/>
      <c r="D31" s="30"/>
      <c r="E31" s="30"/>
      <c r="F31" s="15" t="str">
        <f aca="true">IF(C31="","",IF(E31&lt;&gt;"","paid ✓ — nice",IF(D31="","waiting",IF(D31&lt;TODAY(),"overdue "&amp;(TODAY()-D31)&amp;" days — chase gently","due in "&amp;(D31-TODAY())&amp;" days"))))</f>
        <v/>
      </c>
      <c r="G31" s="1"/>
    </row>
    <row r="32" customFormat="false" ht="15" hidden="false" customHeight="false" outlineLevel="0" collapsed="false">
      <c r="A32" s="1"/>
      <c r="B32" s="32"/>
      <c r="C32" s="31"/>
      <c r="D32" s="30"/>
      <c r="E32" s="30"/>
      <c r="F32" s="15" t="str">
        <f aca="true">IF(C32="","",IF(E32&lt;&gt;"","paid ✓ — nice",IF(D32="","waiting",IF(D32&lt;TODAY(),"overdue "&amp;(TODAY()-D32)&amp;" days — chase gently","due in "&amp;(D32-TODAY())&amp;" days"))))</f>
        <v/>
      </c>
      <c r="G32" s="1"/>
    </row>
    <row r="33" customFormat="false" ht="15" hidden="false" customHeight="false" outlineLevel="0" collapsed="false">
      <c r="A33" s="1"/>
      <c r="B33" s="32"/>
      <c r="C33" s="31"/>
      <c r="D33" s="30"/>
      <c r="E33" s="30"/>
      <c r="F33" s="15" t="str">
        <f aca="true">IF(C33="","",IF(E33&lt;&gt;"","paid ✓ — nice",IF(D33="","waiting",IF(D33&lt;TODAY(),"overdue "&amp;(TODAY()-D33)&amp;" days — chase gently","due in "&amp;(D33-TODAY())&amp;" days"))))</f>
        <v/>
      </c>
      <c r="G33" s="1"/>
    </row>
    <row r="34" customFormat="false" ht="15" hidden="false" customHeight="false" outlineLevel="0" collapsed="false">
      <c r="A34" s="1"/>
      <c r="B34" s="32"/>
      <c r="C34" s="31"/>
      <c r="D34" s="30"/>
      <c r="E34" s="30"/>
      <c r="F34" s="15" t="str">
        <f aca="true">IF(C34="","",IF(E34&lt;&gt;"","paid ✓ — nice",IF(D34="","waiting",IF(D34&lt;TODAY(),"overdue "&amp;(TODAY()-D34)&amp;" days — chase gently","due in "&amp;(D34-TODAY())&amp;" days"))))</f>
        <v/>
      </c>
      <c r="G34" s="1"/>
    </row>
    <row r="35" customFormat="false" ht="15" hidden="false" customHeight="false" outlineLevel="0" collapsed="false">
      <c r="A35" s="1"/>
      <c r="B35" s="32"/>
      <c r="C35" s="31"/>
      <c r="D35" s="30"/>
      <c r="E35" s="30"/>
      <c r="F35" s="15" t="str">
        <f aca="true">IF(C35="","",IF(E35&lt;&gt;"","paid ✓ — nice",IF(D35="","waiting",IF(D35&lt;TODAY(),"overdue "&amp;(TODAY()-D35)&amp;" days — chase gently","due in "&amp;(D35-TODAY())&amp;" days"))))</f>
        <v/>
      </c>
      <c r="G35" s="1"/>
    </row>
    <row r="36" customFormat="false" ht="15" hidden="false" customHeight="false" outlineLevel="0" collapsed="false">
      <c r="A36" s="1"/>
      <c r="B36" s="32"/>
      <c r="C36" s="31"/>
      <c r="D36" s="30"/>
      <c r="E36" s="30"/>
      <c r="F36" s="15" t="str">
        <f aca="true">IF(C36="","",IF(E36&lt;&gt;"","paid ✓ — nice",IF(D36="","waiting",IF(D36&lt;TODAY(),"overdue "&amp;(TODAY()-D36)&amp;" days — chase gently","due in "&amp;(D36-TODAY())&amp;" days"))))</f>
        <v/>
      </c>
      <c r="G36" s="1"/>
    </row>
    <row r="37" customFormat="false" ht="15" hidden="false" customHeight="false" outlineLevel="0" collapsed="false">
      <c r="A37" s="1"/>
      <c r="B37" s="32"/>
      <c r="C37" s="31"/>
      <c r="D37" s="30"/>
      <c r="E37" s="30"/>
      <c r="F37" s="15" t="str">
        <f aca="true">IF(C37="","",IF(E37&lt;&gt;"","paid ✓ — nice",IF(D37="","waiting",IF(D37&lt;TODAY(),"overdue "&amp;(TODAY()-D37)&amp;" days — chase gently","due in "&amp;(D37-TODAY())&amp;" days"))))</f>
        <v/>
      </c>
      <c r="G37" s="1"/>
    </row>
    <row r="38" customFormat="false" ht="15" hidden="false" customHeight="false" outlineLevel="0" collapsed="false">
      <c r="A38" s="1"/>
      <c r="B38" s="32"/>
      <c r="C38" s="31"/>
      <c r="D38" s="30"/>
      <c r="E38" s="30"/>
      <c r="F38" s="15" t="str">
        <f aca="true">IF(C38="","",IF(E38&lt;&gt;"","paid ✓ — nice",IF(D38="","waiting",IF(D38&lt;TODAY(),"overdue "&amp;(TODAY()-D38)&amp;" days — chase gently","due in "&amp;(D38-TODAY())&amp;" days"))))</f>
        <v/>
      </c>
      <c r="G38" s="1"/>
    </row>
    <row r="39" customFormat="false" ht="15" hidden="false" customHeight="false" outlineLevel="0" collapsed="false">
      <c r="A39" s="1"/>
      <c r="B39" s="32"/>
      <c r="C39" s="31"/>
      <c r="D39" s="30"/>
      <c r="E39" s="30"/>
      <c r="F39" s="15" t="str">
        <f aca="true">IF(C39="","",IF(E39&lt;&gt;"","paid ✓ — nice",IF(D39="","waiting",IF(D39&lt;TODAY(),"overdue "&amp;(TODAY()-D39)&amp;" days — chase gently","due in "&amp;(D39-TODAY())&amp;" days"))))</f>
        <v/>
      </c>
      <c r="G39" s="1"/>
    </row>
    <row r="40" customFormat="false" ht="15" hidden="false" customHeight="false" outlineLevel="0" collapsed="false">
      <c r="A40" s="1"/>
      <c r="B40" s="32"/>
      <c r="C40" s="31"/>
      <c r="D40" s="30"/>
      <c r="E40" s="30"/>
      <c r="F40" s="15" t="str">
        <f aca="true">IF(C40="","",IF(E40&lt;&gt;"","paid ✓ — nice",IF(D40="","waiting",IF(D40&lt;TODAY(),"overdue "&amp;(TODAY()-D40)&amp;" days — chase gently","due in "&amp;(D40-TODAY())&amp;" days"))))</f>
        <v/>
      </c>
      <c r="G40" s="1"/>
    </row>
    <row r="41" customFormat="false" ht="15" hidden="false" customHeight="false" outlineLevel="0" collapsed="false">
      <c r="A41" s="1"/>
      <c r="B41" s="32"/>
      <c r="C41" s="31"/>
      <c r="D41" s="30"/>
      <c r="E41" s="30"/>
      <c r="F41" s="15" t="str">
        <f aca="true">IF(C41="","",IF(E41&lt;&gt;"","paid ✓ — nice",IF(D41="","waiting",IF(D41&lt;TODAY(),"overdue "&amp;(TODAY()-D41)&amp;" days — chase gently","due in "&amp;(D41-TODAY())&amp;" days"))))</f>
        <v/>
      </c>
      <c r="G41" s="1"/>
    </row>
    <row r="42" customFormat="false" ht="15" hidden="false" customHeight="false" outlineLevel="0" collapsed="false">
      <c r="A42" s="1"/>
      <c r="B42" s="32"/>
      <c r="C42" s="31"/>
      <c r="D42" s="30"/>
      <c r="E42" s="30"/>
      <c r="F42" s="15" t="str">
        <f aca="true">IF(C42="","",IF(E42&lt;&gt;"","paid ✓ — nice",IF(D42="","waiting",IF(D42&lt;TODAY(),"overdue "&amp;(TODAY()-D42)&amp;" days — chase gently","due in "&amp;(D42-TODAY())&amp;" days"))))</f>
        <v/>
      </c>
      <c r="G42" s="1"/>
    </row>
    <row r="43" customFormat="false" ht="15" hidden="false" customHeight="false" outlineLevel="0" collapsed="false">
      <c r="A43" s="1"/>
      <c r="B43" s="32"/>
      <c r="C43" s="31"/>
      <c r="D43" s="30"/>
      <c r="E43" s="30"/>
      <c r="F43" s="15" t="str">
        <f aca="true">IF(C43="","",IF(E43&lt;&gt;"","paid ✓ — nice",IF(D43="","waiting",IF(D43&lt;TODAY(),"overdue "&amp;(TODAY()-D43)&amp;" days — chase gently","due in "&amp;(D43-TODAY())&amp;" days"))))</f>
        <v/>
      </c>
      <c r="G43" s="1"/>
    </row>
    <row r="44" customFormat="false" ht="15" hidden="false" customHeight="false" outlineLevel="0" collapsed="false">
      <c r="A44" s="1"/>
      <c r="B44" s="32"/>
      <c r="C44" s="31"/>
      <c r="D44" s="30"/>
      <c r="E44" s="30"/>
      <c r="F44" s="15" t="str">
        <f aca="true">IF(C44="","",IF(E44&lt;&gt;"","paid ✓ — nice",IF(D44="","waiting",IF(D44&lt;TODAY(),"overdue "&amp;(TODAY()-D44)&amp;" days — chase gently","due in "&amp;(D44-TODAY())&amp;" days"))))</f>
        <v/>
      </c>
      <c r="G44" s="1"/>
    </row>
    <row r="45" customFormat="false" ht="15" hidden="false" customHeight="false" outlineLevel="0" collapsed="false">
      <c r="A45" s="1"/>
      <c r="B45" s="32"/>
      <c r="C45" s="31"/>
      <c r="D45" s="30"/>
      <c r="E45" s="30"/>
      <c r="F45" s="15" t="str">
        <f aca="true">IF(C45="","",IF(E45&lt;&gt;"","paid ✓ — nice",IF(D45="","waiting",IF(D45&lt;TODAY(),"overdue "&amp;(TODAY()-D45)&amp;" days — chase gently","due in "&amp;(D45-TODAY())&amp;" days"))))</f>
        <v/>
      </c>
      <c r="G45" s="1"/>
    </row>
    <row r="46" customFormat="false" ht="15" hidden="false" customHeight="false" outlineLevel="0" collapsed="false">
      <c r="A46" s="1"/>
      <c r="B46" s="32"/>
      <c r="C46" s="31"/>
      <c r="D46" s="30"/>
      <c r="E46" s="30"/>
      <c r="F46" s="15" t="str">
        <f aca="true">IF(C46="","",IF(E46&lt;&gt;"","paid ✓ — nice",IF(D46="","waiting",IF(D46&lt;TODAY(),"overdue "&amp;(TODAY()-D46)&amp;" days — chase gently","due in "&amp;(D46-TODAY())&amp;" days"))))</f>
        <v/>
      </c>
      <c r="G46" s="1"/>
    </row>
    <row r="47" customFormat="false" ht="15" hidden="false" customHeight="false" outlineLevel="0" collapsed="false">
      <c r="A47" s="1"/>
      <c r="B47" s="32"/>
      <c r="C47" s="31"/>
      <c r="D47" s="30"/>
      <c r="E47" s="30"/>
      <c r="F47" s="15" t="str">
        <f aca="true">IF(C47="","",IF(E47&lt;&gt;"","paid ✓ — nice",IF(D47="","waiting",IF(D47&lt;TODAY(),"overdue "&amp;(TODAY()-D47)&amp;" days — chase gently","due in "&amp;(D47-TODAY())&amp;" days"))))</f>
        <v/>
      </c>
      <c r="G47" s="1"/>
    </row>
    <row r="48" customFormat="false" ht="15" hidden="false" customHeight="false" outlineLevel="0" collapsed="false">
      <c r="A48" s="1"/>
      <c r="B48" s="32"/>
      <c r="C48" s="31"/>
      <c r="D48" s="30"/>
      <c r="E48" s="30"/>
      <c r="F48" s="15" t="str">
        <f aca="true">IF(C48="","",IF(E48&lt;&gt;"","paid ✓ — nice",IF(D48="","waiting",IF(D48&lt;TODAY(),"overdue "&amp;(TODAY()-D48)&amp;" days — chase gently","due in "&amp;(D48-TODAY())&amp;" days"))))</f>
        <v/>
      </c>
      <c r="G48" s="1"/>
    </row>
    <row r="49" customFormat="false" ht="15" hidden="false" customHeight="false" outlineLevel="0" collapsed="false">
      <c r="A49" s="1"/>
      <c r="B49" s="32"/>
      <c r="C49" s="31"/>
      <c r="D49" s="30"/>
      <c r="E49" s="30"/>
      <c r="F49" s="15" t="str">
        <f aca="true">IF(C49="","",IF(E49&lt;&gt;"","paid ✓ — nice",IF(D49="","waiting",IF(D49&lt;TODAY(),"overdue "&amp;(TODAY()-D49)&amp;" days — chase gently","due in "&amp;(D49-TODAY())&amp;" days"))))</f>
        <v/>
      </c>
      <c r="G49" s="1"/>
    </row>
    <row r="50" customFormat="false" ht="15" hidden="false" customHeight="false" outlineLevel="0" collapsed="false">
      <c r="A50" s="1"/>
      <c r="B50" s="32"/>
      <c r="C50" s="31"/>
      <c r="D50" s="30"/>
      <c r="E50" s="30"/>
      <c r="F50" s="15" t="str">
        <f aca="true">IF(C50="","",IF(E50&lt;&gt;"","paid ✓ — nice",IF(D50="","waiting",IF(D50&lt;TODAY(),"overdue "&amp;(TODAY()-D50)&amp;" days — chase gently","due in "&amp;(D50-TODAY())&amp;" days"))))</f>
        <v/>
      </c>
      <c r="G50" s="1"/>
    </row>
    <row r="51" customFormat="false" ht="15" hidden="false" customHeight="false" outlineLevel="0" collapsed="false">
      <c r="A51" s="1"/>
      <c r="B51" s="32"/>
      <c r="C51" s="31"/>
      <c r="D51" s="30"/>
      <c r="E51" s="30"/>
      <c r="F51" s="15" t="str">
        <f aca="true">IF(C51="","",IF(E51&lt;&gt;"","paid ✓ — nice",IF(D51="","waiting",IF(D51&lt;TODAY(),"overdue "&amp;(TODAY()-D51)&amp;" days — chase gently","due in "&amp;(D51-TODAY())&amp;" days"))))</f>
        <v/>
      </c>
      <c r="G51" s="1"/>
    </row>
    <row r="52" customFormat="false" ht="15" hidden="false" customHeight="false" outlineLevel="0" collapsed="false">
      <c r="A52" s="1"/>
      <c r="B52" s="32"/>
      <c r="C52" s="31"/>
      <c r="D52" s="30"/>
      <c r="E52" s="30"/>
      <c r="F52" s="15" t="str">
        <f aca="true">IF(C52="","",IF(E52&lt;&gt;"","paid ✓ — nice",IF(D52="","waiting",IF(D52&lt;TODAY(),"overdue "&amp;(TODAY()-D52)&amp;" days — chase gently","due in "&amp;(D52-TODAY())&amp;" days"))))</f>
        <v/>
      </c>
      <c r="G52" s="1"/>
    </row>
    <row r="53" customFormat="false" ht="15" hidden="false" customHeight="false" outlineLevel="0" collapsed="false">
      <c r="A53" s="1"/>
      <c r="B53" s="32"/>
      <c r="C53" s="31"/>
      <c r="D53" s="30"/>
      <c r="E53" s="30"/>
      <c r="F53" s="15" t="str">
        <f aca="true">IF(C53="","",IF(E53&lt;&gt;"","paid ✓ — nice",IF(D53="","waiting",IF(D53&lt;TODAY(),"overdue "&amp;(TODAY()-D53)&amp;" days — chase gently","due in "&amp;(D53-TODAY())&amp;" days"))))</f>
        <v/>
      </c>
      <c r="G53" s="1"/>
    </row>
    <row r="54" customFormat="false" ht="15" hidden="false" customHeight="false" outlineLevel="0" collapsed="false">
      <c r="A54" s="1"/>
      <c r="B54" s="32"/>
      <c r="C54" s="31"/>
      <c r="D54" s="30"/>
      <c r="E54" s="30"/>
      <c r="F54" s="15" t="str">
        <f aca="true">IF(C54="","",IF(E54&lt;&gt;"","paid ✓ — nice",IF(D54="","waiting",IF(D54&lt;TODAY(),"overdue "&amp;(TODAY()-D54)&amp;" days — chase gently","due in "&amp;(D54-TODAY())&amp;" days"))))</f>
        <v/>
      </c>
      <c r="G54" s="1"/>
    </row>
    <row r="55" customFormat="false" ht="15" hidden="false" customHeight="false" outlineLevel="0" collapsed="false">
      <c r="A55" s="1"/>
      <c r="B55" s="32"/>
      <c r="C55" s="31"/>
      <c r="D55" s="30"/>
      <c r="E55" s="30"/>
      <c r="F55" s="15" t="str">
        <f aca="true">IF(C55="","",IF(E55&lt;&gt;"","paid ✓ — nice",IF(D55="","waiting",IF(D55&lt;TODAY(),"overdue "&amp;(TODAY()-D55)&amp;" days — chase gently","due in "&amp;(D55-TODAY())&amp;" days"))))</f>
        <v/>
      </c>
      <c r="G55" s="1"/>
    </row>
    <row r="56" customFormat="false" ht="15" hidden="false" customHeight="false" outlineLevel="0" collapsed="false">
      <c r="A56" s="1"/>
      <c r="B56" s="32"/>
      <c r="C56" s="31"/>
      <c r="D56" s="30"/>
      <c r="E56" s="30"/>
      <c r="F56" s="15" t="str">
        <f aca="true">IF(C56="","",IF(E56&lt;&gt;"","paid ✓ — nice",IF(D56="","waiting",IF(D56&lt;TODAY(),"overdue "&amp;(TODAY()-D56)&amp;" days — chase gently","due in "&amp;(D56-TODAY())&amp;" days"))))</f>
        <v/>
      </c>
      <c r="G56" s="1"/>
    </row>
    <row r="57" customFormat="false" ht="15" hidden="false" customHeight="false" outlineLevel="0" collapsed="false">
      <c r="A57" s="1"/>
      <c r="B57" s="32"/>
      <c r="C57" s="31"/>
      <c r="D57" s="30"/>
      <c r="E57" s="30"/>
      <c r="F57" s="15" t="str">
        <f aca="true">IF(C57="","",IF(E57&lt;&gt;"","paid ✓ — nice",IF(D57="","waiting",IF(D57&lt;TODAY(),"overdue "&amp;(TODAY()-D57)&amp;" days — chase gently","due in "&amp;(D57-TODAY())&amp;" days"))))</f>
        <v/>
      </c>
      <c r="G57" s="1"/>
    </row>
    <row r="58" customFormat="false" ht="15" hidden="false" customHeight="false" outlineLevel="0" collapsed="false">
      <c r="A58" s="1"/>
      <c r="B58" s="32"/>
      <c r="C58" s="31"/>
      <c r="D58" s="30"/>
      <c r="E58" s="30"/>
      <c r="F58" s="15" t="str">
        <f aca="true">IF(C58="","",IF(E58&lt;&gt;"","paid ✓ — nice",IF(D58="","waiting",IF(D58&lt;TODAY(),"overdue "&amp;(TODAY()-D58)&amp;" days — chase gently","due in "&amp;(D58-TODAY())&amp;" days"))))</f>
        <v/>
      </c>
      <c r="G58" s="1"/>
    </row>
    <row r="59" customFormat="false" ht="15" hidden="false" customHeight="false" outlineLevel="0" collapsed="false">
      <c r="A59" s="1"/>
      <c r="B59" s="32"/>
      <c r="C59" s="31"/>
      <c r="D59" s="30"/>
      <c r="E59" s="30"/>
      <c r="F59" s="15" t="str">
        <f aca="true">IF(C59="","",IF(E59&lt;&gt;"","paid ✓ — nice",IF(D59="","waiting",IF(D59&lt;TODAY(),"overdue "&amp;(TODAY()-D59)&amp;" days — chase gently","due in "&amp;(D59-TODAY())&amp;" days"))))</f>
        <v/>
      </c>
      <c r="G59" s="1"/>
    </row>
    <row r="60" customFormat="false" ht="15" hidden="false" customHeight="false" outlineLevel="0" collapsed="false">
      <c r="A60" s="1"/>
      <c r="B60" s="32"/>
      <c r="C60" s="31"/>
      <c r="D60" s="30"/>
      <c r="E60" s="30"/>
      <c r="F60" s="15" t="str">
        <f aca="true">IF(C60="","",IF(E60&lt;&gt;"","paid ✓ — nice",IF(D60="","waiting",IF(D60&lt;TODAY(),"overdue "&amp;(TODAY()-D60)&amp;" days — chase gently","due in "&amp;(D60-TODAY())&amp;" days"))))</f>
        <v/>
      </c>
      <c r="G60" s="1"/>
    </row>
    <row r="61" customFormat="false" ht="15" hidden="false" customHeight="false" outlineLevel="0" collapsed="false">
      <c r="A61" s="1"/>
      <c r="B61" s="32"/>
      <c r="C61" s="31"/>
      <c r="D61" s="30"/>
      <c r="E61" s="30"/>
      <c r="F61" s="15" t="str">
        <f aca="true">IF(C61="","",IF(E61&lt;&gt;"","paid ✓ — nice",IF(D61="","waiting",IF(D61&lt;TODAY(),"overdue "&amp;(TODAY()-D61)&amp;" days — chase gently","due in "&amp;(D61-TODAY())&amp;" days"))))</f>
        <v/>
      </c>
      <c r="G61" s="1"/>
    </row>
    <row r="62" customFormat="false" ht="15" hidden="false" customHeight="false" outlineLevel="0" collapsed="false">
      <c r="A62" s="1"/>
      <c r="B62" s="32"/>
      <c r="C62" s="31"/>
      <c r="D62" s="30"/>
      <c r="E62" s="30"/>
      <c r="F62" s="15" t="str">
        <f aca="true">IF(C62="","",IF(E62&lt;&gt;"","paid ✓ — nice",IF(D62="","waiting",IF(D62&lt;TODAY(),"overdue "&amp;(TODAY()-D62)&amp;" days — chase gently","due in "&amp;(D62-TODAY())&amp;" days"))))</f>
        <v/>
      </c>
      <c r="G62" s="1"/>
    </row>
    <row r="63" customFormat="false" ht="15" hidden="false" customHeight="false" outlineLevel="0" collapsed="false">
      <c r="A63" s="1"/>
      <c r="B63" s="32"/>
      <c r="C63" s="31"/>
      <c r="D63" s="30"/>
      <c r="E63" s="30"/>
      <c r="F63" s="15" t="str">
        <f aca="true">IF(C63="","",IF(E63&lt;&gt;"","paid ✓ — nice",IF(D63="","waiting",IF(D63&lt;TODAY(),"overdue "&amp;(TODAY()-D63)&amp;" days — chase gently","due in "&amp;(D63-TODAY())&amp;" days"))))</f>
        <v/>
      </c>
      <c r="G63" s="1"/>
    </row>
    <row r="64" customFormat="false" ht="15" hidden="false" customHeight="false" outlineLevel="0" collapsed="false">
      <c r="A64" s="1"/>
      <c r="B64" s="32"/>
      <c r="C64" s="31"/>
      <c r="D64" s="30"/>
      <c r="E64" s="30"/>
      <c r="F64" s="15" t="str">
        <f aca="true">IF(C64="","",IF(E64&lt;&gt;"","paid ✓ — nice",IF(D64="","waiting",IF(D64&lt;TODAY(),"overdue "&amp;(TODAY()-D64)&amp;" days — chase gently","due in "&amp;(D64-TODAY())&amp;" days"))))</f>
        <v/>
      </c>
      <c r="G64" s="1"/>
    </row>
    <row r="65" customFormat="false" ht="15" hidden="false" customHeight="false" outlineLevel="0" collapsed="false">
      <c r="A65" s="1"/>
      <c r="B65" s="32"/>
      <c r="C65" s="31"/>
      <c r="D65" s="30"/>
      <c r="E65" s="30"/>
      <c r="F65" s="15" t="str">
        <f aca="true">IF(C65="","",IF(E65&lt;&gt;"","paid ✓ — nice",IF(D65="","waiting",IF(D65&lt;TODAY(),"overdue "&amp;(TODAY()-D65)&amp;" days — chase gently","due in "&amp;(D65-TODAY())&amp;" days"))))</f>
        <v/>
      </c>
      <c r="G65" s="1"/>
    </row>
    <row r="66" customFormat="false" ht="15" hidden="false" customHeight="false" outlineLevel="0" collapsed="false">
      <c r="A66" s="1"/>
      <c r="B66" s="32"/>
      <c r="C66" s="31"/>
      <c r="D66" s="30"/>
      <c r="E66" s="30"/>
      <c r="F66" s="15" t="str">
        <f aca="true">IF(C66="","",IF(E66&lt;&gt;"","paid ✓ — nice",IF(D66="","waiting",IF(D66&lt;TODAY(),"overdue "&amp;(TODAY()-D66)&amp;" days — chase gently","due in "&amp;(D66-TODAY())&amp;" days"))))</f>
        <v/>
      </c>
      <c r="G66" s="1"/>
    </row>
    <row r="67" customFormat="false" ht="15" hidden="false" customHeight="false" outlineLevel="0" collapsed="false">
      <c r="A67" s="1"/>
      <c r="B67" s="32"/>
      <c r="C67" s="31"/>
      <c r="D67" s="30"/>
      <c r="E67" s="30"/>
      <c r="F67" s="15" t="str">
        <f aca="true">IF(C67="","",IF(E67&lt;&gt;"","paid ✓ — nice",IF(D67="","waiting",IF(D67&lt;TODAY(),"overdue "&amp;(TODAY()-D67)&amp;" days — chase gently","due in "&amp;(D67-TODAY())&amp;" days"))))</f>
        <v/>
      </c>
      <c r="G67" s="1"/>
    </row>
    <row r="68" customFormat="false" ht="15" hidden="false" customHeight="false" outlineLevel="0" collapsed="false">
      <c r="A68" s="1"/>
      <c r="B68" s="32"/>
      <c r="C68" s="31"/>
      <c r="D68" s="30"/>
      <c r="E68" s="30"/>
      <c r="F68" s="15" t="str">
        <f aca="true">IF(C68="","",IF(E68&lt;&gt;"","paid ✓ — nice",IF(D68="","waiting",IF(D68&lt;TODAY(),"overdue "&amp;(TODAY()-D68)&amp;" days — chase gently","due in "&amp;(D68-TODAY())&amp;" days"))))</f>
        <v/>
      </c>
      <c r="G68" s="1"/>
    </row>
    <row r="69" customFormat="false" ht="15" hidden="false" customHeight="false" outlineLevel="0" collapsed="false">
      <c r="A69" s="1"/>
      <c r="B69" s="32"/>
      <c r="C69" s="31"/>
      <c r="D69" s="30"/>
      <c r="E69" s="30"/>
      <c r="F69" s="15" t="str">
        <f aca="true">IF(C69="","",IF(E69&lt;&gt;"","paid ✓ — nice",IF(D69="","waiting",IF(D69&lt;TODAY(),"overdue "&amp;(TODAY()-D69)&amp;" days — chase gently","due in "&amp;(D69-TODAY())&amp;" days"))))</f>
        <v/>
      </c>
      <c r="G69" s="1"/>
    </row>
    <row r="70" customFormat="false" ht="15" hidden="false" customHeight="false" outlineLevel="0" collapsed="false">
      <c r="A70" s="1"/>
      <c r="B70" s="32"/>
      <c r="C70" s="31"/>
      <c r="D70" s="30"/>
      <c r="E70" s="30"/>
      <c r="F70" s="15" t="str">
        <f aca="true">IF(C70="","",IF(E70&lt;&gt;"","paid ✓ — nice",IF(D70="","waiting",IF(D70&lt;TODAY(),"overdue "&amp;(TODAY()-D70)&amp;" days — chase gently","due in "&amp;(D70-TODAY())&amp;" days"))))</f>
        <v/>
      </c>
      <c r="G70" s="1"/>
    </row>
    <row r="71" customFormat="false" ht="15" hidden="false" customHeight="false" outlineLevel="0" collapsed="false">
      <c r="A71" s="1"/>
      <c r="B71" s="32"/>
      <c r="C71" s="31"/>
      <c r="D71" s="30"/>
      <c r="E71" s="30"/>
      <c r="F71" s="15" t="str">
        <f aca="true">IF(C71="","",IF(E71&lt;&gt;"","paid ✓ — nice",IF(D71="","waiting",IF(D71&lt;TODAY(),"overdue "&amp;(TODAY()-D71)&amp;" days — chase gently","due in "&amp;(D71-TODAY())&amp;" days"))))</f>
        <v/>
      </c>
      <c r="G71" s="1"/>
    </row>
    <row r="72" customFormat="false" ht="15" hidden="false" customHeight="false" outlineLevel="0" collapsed="false">
      <c r="A72" s="1"/>
      <c r="B72" s="32"/>
      <c r="C72" s="31"/>
      <c r="D72" s="30"/>
      <c r="E72" s="30"/>
      <c r="F72" s="15" t="str">
        <f aca="true">IF(C72="","",IF(E72&lt;&gt;"","paid ✓ — nice",IF(D72="","waiting",IF(D72&lt;TODAY(),"overdue "&amp;(TODAY()-D72)&amp;" days — chase gently","due in "&amp;(D72-TODAY())&amp;" days"))))</f>
        <v/>
      </c>
      <c r="G72" s="1"/>
    </row>
    <row r="73" customFormat="false" ht="15" hidden="false" customHeight="false" outlineLevel="0" collapsed="false">
      <c r="A73" s="1"/>
      <c r="B73" s="32"/>
      <c r="C73" s="31"/>
      <c r="D73" s="30"/>
      <c r="E73" s="30"/>
      <c r="F73" s="15" t="str">
        <f aca="true">IF(C73="","",IF(E73&lt;&gt;"","paid ✓ — nice",IF(D73="","waiting",IF(D73&lt;TODAY(),"overdue "&amp;(TODAY()-D73)&amp;" days — chase gently","due in "&amp;(D73-TODAY())&amp;" days"))))</f>
        <v/>
      </c>
      <c r="G73" s="1"/>
    </row>
    <row r="74" customFormat="false" ht="15" hidden="false" customHeight="false" outlineLevel="0" collapsed="false">
      <c r="A74" s="1"/>
      <c r="B74" s="32"/>
      <c r="C74" s="31"/>
      <c r="D74" s="30"/>
      <c r="E74" s="30"/>
      <c r="F74" s="15" t="str">
        <f aca="true">IF(C74="","",IF(E74&lt;&gt;"","paid ✓ — nice",IF(D74="","waiting",IF(D74&lt;TODAY(),"overdue "&amp;(TODAY()-D74)&amp;" days — chase gently","due in "&amp;(D74-TODAY())&amp;" days"))))</f>
        <v/>
      </c>
      <c r="G74" s="1"/>
    </row>
    <row r="75" customFormat="false" ht="15" hidden="false" customHeight="false" outlineLevel="0" collapsed="false">
      <c r="A75" s="1"/>
      <c r="B75" s="32"/>
      <c r="C75" s="31"/>
      <c r="D75" s="30"/>
      <c r="E75" s="30"/>
      <c r="F75" s="15" t="str">
        <f aca="true">IF(C75="","",IF(E75&lt;&gt;"","paid ✓ — nice",IF(D75="","waiting",IF(D75&lt;TODAY(),"overdue "&amp;(TODAY()-D75)&amp;" days — chase gently","due in "&amp;(D75-TODAY())&amp;" days"))))</f>
        <v/>
      </c>
      <c r="G75" s="1"/>
    </row>
    <row r="76" customFormat="false" ht="15" hidden="false" customHeight="false" outlineLevel="0" collapsed="false">
      <c r="A76" s="1"/>
      <c r="B76" s="32"/>
      <c r="C76" s="31"/>
      <c r="D76" s="30"/>
      <c r="E76" s="30"/>
      <c r="F76" s="15" t="str">
        <f aca="true">IF(C76="","",IF(E76&lt;&gt;"","paid ✓ — nice",IF(D76="","waiting",IF(D76&lt;TODAY(),"overdue "&amp;(TODAY()-D76)&amp;" days — chase gently","due in "&amp;(D76-TODAY())&amp;" days"))))</f>
        <v/>
      </c>
      <c r="G76" s="1"/>
    </row>
    <row r="77" customFormat="false" ht="15" hidden="false" customHeight="false" outlineLevel="0" collapsed="false">
      <c r="A77" s="1"/>
      <c r="B77" s="32"/>
      <c r="C77" s="31"/>
      <c r="D77" s="30"/>
      <c r="E77" s="30"/>
      <c r="F77" s="15" t="str">
        <f aca="true">IF(C77="","",IF(E77&lt;&gt;"","paid ✓ — nice",IF(D77="","waiting",IF(D77&lt;TODAY(),"overdue "&amp;(TODAY()-D77)&amp;" days — chase gently","due in "&amp;(D77-TODAY())&amp;" days"))))</f>
        <v/>
      </c>
      <c r="G77" s="1"/>
    </row>
    <row r="78" customFormat="false" ht="15" hidden="false" customHeight="false" outlineLevel="0" collapsed="false">
      <c r="A78" s="1"/>
      <c r="B78" s="32"/>
      <c r="C78" s="31"/>
      <c r="D78" s="30"/>
      <c r="E78" s="30"/>
      <c r="F78" s="15" t="str">
        <f aca="true">IF(C78="","",IF(E78&lt;&gt;"","paid ✓ — nice",IF(D78="","waiting",IF(D78&lt;TODAY(),"overdue "&amp;(TODAY()-D78)&amp;" days — chase gently","due in "&amp;(D78-TODAY())&amp;" days"))))</f>
        <v/>
      </c>
      <c r="G78" s="1"/>
    </row>
    <row r="79" customFormat="false" ht="15" hidden="false" customHeight="false" outlineLevel="0" collapsed="false">
      <c r="A79" s="1"/>
      <c r="B79" s="32"/>
      <c r="C79" s="31"/>
      <c r="D79" s="30"/>
      <c r="E79" s="30"/>
      <c r="F79" s="15" t="str">
        <f aca="true">IF(C79="","",IF(E79&lt;&gt;"","paid ✓ — nice",IF(D79="","waiting",IF(D79&lt;TODAY(),"overdue "&amp;(TODAY()-D79)&amp;" days — chase gently","due in "&amp;(D79-TODAY())&amp;" days"))))</f>
        <v/>
      </c>
      <c r="G79" s="1"/>
    </row>
    <row r="80" customFormat="false" ht="15" hidden="false" customHeight="false" outlineLevel="0" collapsed="false">
      <c r="A80" s="1"/>
      <c r="B80" s="32"/>
      <c r="C80" s="31"/>
      <c r="D80" s="30"/>
      <c r="E80" s="30"/>
      <c r="F80" s="15" t="str">
        <f aca="true">IF(C80="","",IF(E80&lt;&gt;"","paid ✓ — nice",IF(D80="","waiting",IF(D80&lt;TODAY(),"overdue "&amp;(TODAY()-D80)&amp;" days — chase gently","due in "&amp;(D80-TODAY())&amp;" days"))))</f>
        <v/>
      </c>
      <c r="G80" s="1"/>
    </row>
    <row r="81" customFormat="false" ht="15" hidden="false" customHeight="false" outlineLevel="0" collapsed="false">
      <c r="A81" s="1"/>
      <c r="B81" s="32"/>
      <c r="C81" s="31"/>
      <c r="D81" s="30"/>
      <c r="E81" s="30"/>
      <c r="F81" s="15" t="str">
        <f aca="true">IF(C81="","",IF(E81&lt;&gt;"","paid ✓ — nice",IF(D81="","waiting",IF(D81&lt;TODAY(),"overdue "&amp;(TODAY()-D81)&amp;" days — chase gently","due in "&amp;(D81-TODAY())&amp;" days"))))</f>
        <v/>
      </c>
      <c r="G81" s="1"/>
    </row>
    <row r="82" customFormat="false" ht="15" hidden="false" customHeight="false" outlineLevel="0" collapsed="false">
      <c r="A82" s="1"/>
      <c r="B82" s="32"/>
      <c r="C82" s="31"/>
      <c r="D82" s="30"/>
      <c r="E82" s="30"/>
      <c r="F82" s="15" t="str">
        <f aca="true">IF(C82="","",IF(E82&lt;&gt;"","paid ✓ — nice",IF(D82="","waiting",IF(D82&lt;TODAY(),"overdue "&amp;(TODAY()-D82)&amp;" days — chase gently","due in "&amp;(D82-TODAY())&amp;" days"))))</f>
        <v/>
      </c>
      <c r="G82" s="1"/>
    </row>
    <row r="83" customFormat="false" ht="15" hidden="false" customHeight="false" outlineLevel="0" collapsed="false">
      <c r="A83" s="1"/>
      <c r="B83" s="32"/>
      <c r="C83" s="31"/>
      <c r="D83" s="30"/>
      <c r="E83" s="30"/>
      <c r="F83" s="15" t="str">
        <f aca="true">IF(C83="","",IF(E83&lt;&gt;"","paid ✓ — nice",IF(D83="","waiting",IF(D83&lt;TODAY(),"overdue "&amp;(TODAY()-D83)&amp;" days — chase gently","due in "&amp;(D83-TODAY())&amp;" days"))))</f>
        <v/>
      </c>
      <c r="G83" s="1"/>
    </row>
    <row r="84" customFormat="false" ht="15" hidden="false" customHeight="false" outlineLevel="0" collapsed="false">
      <c r="A84" s="1"/>
      <c r="B84" s="32"/>
      <c r="C84" s="31"/>
      <c r="D84" s="30"/>
      <c r="E84" s="30"/>
      <c r="F84" s="15" t="str">
        <f aca="true">IF(C84="","",IF(E84&lt;&gt;"","paid ✓ — nice",IF(D84="","waiting",IF(D84&lt;TODAY(),"overdue "&amp;(TODAY()-D84)&amp;" days — chase gently","due in "&amp;(D84-TODAY())&amp;" days"))))</f>
        <v/>
      </c>
      <c r="G84" s="1"/>
    </row>
    <row r="85" customFormat="false" ht="15" hidden="false" customHeight="false" outlineLevel="0" collapsed="false">
      <c r="A85" s="1"/>
      <c r="B85" s="32"/>
      <c r="C85" s="31"/>
      <c r="D85" s="30"/>
      <c r="E85" s="30"/>
      <c r="F85" s="15" t="str">
        <f aca="true">IF(C85="","",IF(E85&lt;&gt;"","paid ✓ — nice",IF(D85="","waiting",IF(D85&lt;TODAY(),"overdue "&amp;(TODAY()-D85)&amp;" days — chase gently","due in "&amp;(D85-TODAY())&amp;" days"))))</f>
        <v/>
      </c>
      <c r="G85" s="1"/>
    </row>
    <row r="86" customFormat="false" ht="15" hidden="false" customHeight="false" outlineLevel="0" collapsed="false">
      <c r="A86" s="1"/>
      <c r="B86" s="32"/>
      <c r="C86" s="31"/>
      <c r="D86" s="30"/>
      <c r="E86" s="30"/>
      <c r="F86" s="15" t="str">
        <f aca="true">IF(C86="","",IF(E86&lt;&gt;"","paid ✓ — nice",IF(D86="","waiting",IF(D86&lt;TODAY(),"overdue "&amp;(TODAY()-D86)&amp;" days — chase gently","due in "&amp;(D86-TODAY())&amp;" days"))))</f>
        <v/>
      </c>
      <c r="G86" s="1"/>
    </row>
    <row r="87" customFormat="false" ht="15" hidden="false" customHeight="false" outlineLevel="0" collapsed="false">
      <c r="A87" s="1"/>
      <c r="B87" s="32"/>
      <c r="C87" s="31"/>
      <c r="D87" s="30"/>
      <c r="E87" s="30"/>
      <c r="F87" s="15" t="str">
        <f aca="true">IF(C87="","",IF(E87&lt;&gt;"","paid ✓ — nice",IF(D87="","waiting",IF(D87&lt;TODAY(),"overdue "&amp;(TODAY()-D87)&amp;" days — chase gently","due in "&amp;(D87-TODAY())&amp;" days"))))</f>
        <v/>
      </c>
      <c r="G87" s="1"/>
    </row>
    <row r="88" customFormat="false" ht="15" hidden="false" customHeight="false" outlineLevel="0" collapsed="false">
      <c r="A88" s="1"/>
      <c r="B88" s="32"/>
      <c r="C88" s="31"/>
      <c r="D88" s="30"/>
      <c r="E88" s="30"/>
      <c r="F88" s="15" t="str">
        <f aca="true">IF(C88="","",IF(E88&lt;&gt;"","paid ✓ — nice",IF(D88="","waiting",IF(D88&lt;TODAY(),"overdue "&amp;(TODAY()-D88)&amp;" days — chase gently","due in "&amp;(D88-TODAY())&amp;" days"))))</f>
        <v/>
      </c>
      <c r="G88" s="1"/>
    </row>
    <row r="89" customFormat="false" ht="15" hidden="false" customHeight="false" outlineLevel="0" collapsed="false">
      <c r="A89" s="1"/>
      <c r="B89" s="32"/>
      <c r="C89" s="31"/>
      <c r="D89" s="30"/>
      <c r="E89" s="30"/>
      <c r="F89" s="15" t="str">
        <f aca="true">IF(C89="","",IF(E89&lt;&gt;"","paid ✓ — nice",IF(D89="","waiting",IF(D89&lt;TODAY(),"overdue "&amp;(TODAY()-D89)&amp;" days — chase gently","due in "&amp;(D89-TODAY())&amp;" days"))))</f>
        <v/>
      </c>
      <c r="G89" s="1"/>
    </row>
    <row r="90" customFormat="false" ht="15" hidden="false" customHeight="false" outlineLevel="0" collapsed="false">
      <c r="A90" s="1"/>
      <c r="B90" s="32"/>
      <c r="C90" s="31"/>
      <c r="D90" s="30"/>
      <c r="E90" s="30"/>
      <c r="F90" s="15" t="str">
        <f aca="true">IF(C90="","",IF(E90&lt;&gt;"","paid ✓ — nice",IF(D90="","waiting",IF(D90&lt;TODAY(),"overdue "&amp;(TODAY()-D90)&amp;" days — chase gently","due in "&amp;(D90-TODAY())&amp;" days"))))</f>
        <v/>
      </c>
      <c r="G90" s="1"/>
    </row>
    <row r="91" customFormat="false" ht="15" hidden="false" customHeight="false" outlineLevel="0" collapsed="false">
      <c r="A91" s="1"/>
      <c r="B91" s="32"/>
      <c r="C91" s="31"/>
      <c r="D91" s="30"/>
      <c r="E91" s="30"/>
      <c r="F91" s="15" t="str">
        <f aca="true">IF(C91="","",IF(E91&lt;&gt;"","paid ✓ — nice",IF(D91="","waiting",IF(D91&lt;TODAY(),"overdue "&amp;(TODAY()-D91)&amp;" days — chase gently","due in "&amp;(D91-TODAY())&amp;" days"))))</f>
        <v/>
      </c>
      <c r="G91" s="1"/>
    </row>
    <row r="92" customFormat="false" ht="15" hidden="false" customHeight="false" outlineLevel="0" collapsed="false">
      <c r="A92" s="1"/>
      <c r="B92" s="32"/>
      <c r="C92" s="31"/>
      <c r="D92" s="30"/>
      <c r="E92" s="30"/>
      <c r="F92" s="15" t="str">
        <f aca="true">IF(C92="","",IF(E92&lt;&gt;"","paid ✓ — nice",IF(D92="","waiting",IF(D92&lt;TODAY(),"overdue "&amp;(TODAY()-D92)&amp;" days — chase gently","due in "&amp;(D92-TODAY())&amp;" days"))))</f>
        <v/>
      </c>
      <c r="G92" s="1"/>
    </row>
    <row r="93" customFormat="false" ht="15" hidden="false" customHeight="false" outlineLevel="0" collapsed="false">
      <c r="A93" s="1"/>
      <c r="B93" s="32"/>
      <c r="C93" s="31"/>
      <c r="D93" s="30"/>
      <c r="E93" s="30"/>
      <c r="F93" s="15" t="str">
        <f aca="true">IF(C93="","",IF(E93&lt;&gt;"","paid ✓ — nice",IF(D93="","waiting",IF(D93&lt;TODAY(),"overdue "&amp;(TODAY()-D93)&amp;" days — chase gently","due in "&amp;(D93-TODAY())&amp;" days"))))</f>
        <v/>
      </c>
      <c r="G93" s="1"/>
    </row>
    <row r="94" customFormat="false" ht="15" hidden="false" customHeight="false" outlineLevel="0" collapsed="false">
      <c r="A94" s="1"/>
      <c r="B94" s="32"/>
      <c r="C94" s="31"/>
      <c r="D94" s="30"/>
      <c r="E94" s="30"/>
      <c r="F94" s="15" t="str">
        <f aca="true">IF(C94="","",IF(E94&lt;&gt;"","paid ✓ — nice",IF(D94="","waiting",IF(D94&lt;TODAY(),"overdue "&amp;(TODAY()-D94)&amp;" days — chase gently","due in "&amp;(D94-TODAY())&amp;" days"))))</f>
        <v/>
      </c>
      <c r="G94" s="1"/>
    </row>
    <row r="95" customFormat="false" ht="15" hidden="false" customHeight="false" outlineLevel="0" collapsed="false">
      <c r="A95" s="1"/>
      <c r="B95" s="32"/>
      <c r="C95" s="31"/>
      <c r="D95" s="30"/>
      <c r="E95" s="30"/>
      <c r="F95" s="15" t="str">
        <f aca="true">IF(C95="","",IF(E95&lt;&gt;"","paid ✓ — nice",IF(D95="","waiting",IF(D95&lt;TODAY(),"overdue "&amp;(TODAY()-D95)&amp;" days — chase gently","due in "&amp;(D95-TODAY())&amp;" days"))))</f>
        <v/>
      </c>
      <c r="G95" s="1"/>
    </row>
    <row r="96" customFormat="false" ht="15" hidden="false" customHeight="false" outlineLevel="0" collapsed="false">
      <c r="A96" s="1"/>
      <c r="B96" s="32"/>
      <c r="C96" s="31"/>
      <c r="D96" s="30"/>
      <c r="E96" s="30"/>
      <c r="F96" s="15" t="str">
        <f aca="true">IF(C96="","",IF(E96&lt;&gt;"","paid ✓ — nice",IF(D96="","waiting",IF(D96&lt;TODAY(),"overdue "&amp;(TODAY()-D96)&amp;" days — chase gently","due in "&amp;(D96-TODAY())&amp;" days"))))</f>
        <v/>
      </c>
      <c r="G96" s="1"/>
    </row>
    <row r="97" customFormat="false" ht="15" hidden="false" customHeight="false" outlineLevel="0" collapsed="false">
      <c r="A97" s="1"/>
      <c r="B97" s="32"/>
      <c r="C97" s="31"/>
      <c r="D97" s="30"/>
      <c r="E97" s="30"/>
      <c r="F97" s="15" t="str">
        <f aca="true">IF(C97="","",IF(E97&lt;&gt;"","paid ✓ — nice",IF(D97="","waiting",IF(D97&lt;TODAY(),"overdue "&amp;(TODAY()-D97)&amp;" days — chase gently","due in "&amp;(D97-TODAY())&amp;" days"))))</f>
        <v/>
      </c>
      <c r="G97" s="1"/>
    </row>
    <row r="98" customFormat="false" ht="15" hidden="false" customHeight="false" outlineLevel="0" collapsed="false">
      <c r="A98" s="1"/>
      <c r="B98" s="32"/>
      <c r="C98" s="31"/>
      <c r="D98" s="30"/>
      <c r="E98" s="30"/>
      <c r="F98" s="15" t="str">
        <f aca="true">IF(C98="","",IF(E98&lt;&gt;"","paid ✓ — nice",IF(D98="","waiting",IF(D98&lt;TODAY(),"overdue "&amp;(TODAY()-D98)&amp;" days — chase gently","due in "&amp;(D98-TODAY())&amp;" days"))))</f>
        <v/>
      </c>
      <c r="G98" s="1"/>
    </row>
    <row r="99" customFormat="false" ht="15" hidden="false" customHeight="false" outlineLevel="0" collapsed="false">
      <c r="A99" s="1"/>
      <c r="B99" s="32"/>
      <c r="C99" s="31"/>
      <c r="D99" s="30"/>
      <c r="E99" s="30"/>
      <c r="F99" s="15" t="str">
        <f aca="true">IF(C99="","",IF(E99&lt;&gt;"","paid ✓ — nice",IF(D99="","waiting",IF(D99&lt;TODAY(),"overdue "&amp;(TODAY()-D99)&amp;" days — chase gently","due in "&amp;(D99-TODAY())&amp;" days"))))</f>
        <v/>
      </c>
      <c r="G99" s="1"/>
    </row>
    <row r="100" customFormat="false" ht="15" hidden="false" customHeight="false" outlineLevel="0" collapsed="false">
      <c r="A100" s="1"/>
      <c r="B100" s="32"/>
      <c r="C100" s="31"/>
      <c r="D100" s="30"/>
      <c r="E100" s="30"/>
      <c r="F100" s="15" t="str">
        <f aca="true">IF(C100="","",IF(E100&lt;&gt;"","paid ✓ — nice",IF(D100="","waiting",IF(D100&lt;TODAY(),"overdue "&amp;(TODAY()-D100)&amp;" days — chase gently","due in "&amp;(D100-TODAY())&amp;" days"))))</f>
        <v/>
      </c>
      <c r="G100" s="1"/>
    </row>
    <row r="101" customFormat="false" ht="15" hidden="false" customHeight="false" outlineLevel="0" collapsed="false">
      <c r="A101" s="1"/>
      <c r="B101" s="32"/>
      <c r="C101" s="31"/>
      <c r="D101" s="30"/>
      <c r="E101" s="30"/>
      <c r="F101" s="15" t="str">
        <f aca="true">IF(C101="","",IF(E101&lt;&gt;"","paid ✓ — nice",IF(D101="","waiting",IF(D101&lt;TODAY(),"overdue "&amp;(TODAY()-D101)&amp;" days — chase gently","due in "&amp;(D101-TODAY())&amp;" days"))))</f>
        <v/>
      </c>
      <c r="G101" s="1"/>
    </row>
    <row r="102" customFormat="false" ht="15" hidden="false" customHeight="false" outlineLevel="0" collapsed="false">
      <c r="A102" s="1"/>
      <c r="B102" s="32"/>
      <c r="C102" s="31"/>
      <c r="D102" s="30"/>
      <c r="E102" s="30"/>
      <c r="F102" s="15" t="str">
        <f aca="true">IF(C102="","",IF(E102&lt;&gt;"","paid ✓ — nice",IF(D102="","waiting",IF(D102&lt;TODAY(),"overdue "&amp;(TODAY()-D102)&amp;" days — chase gently","due in "&amp;(D102-TODAY())&amp;" days"))))</f>
        <v/>
      </c>
      <c r="G102" s="1"/>
    </row>
    <row r="103" customFormat="false" ht="15" hidden="false" customHeight="false" outlineLevel="0" collapsed="false">
      <c r="A103" s="1"/>
      <c r="B103" s="32"/>
      <c r="C103" s="31"/>
      <c r="D103" s="30"/>
      <c r="E103" s="30"/>
      <c r="F103" s="15" t="str">
        <f aca="true">IF(C103="","",IF(E103&lt;&gt;"","paid ✓ — nice",IF(D103="","waiting",IF(D103&lt;TODAY(),"overdue "&amp;(TODAY()-D103)&amp;" days — chase gently","due in "&amp;(D103-TODAY())&amp;" days"))))</f>
        <v/>
      </c>
      <c r="G103" s="1"/>
    </row>
    <row r="104" customFormat="false" ht="15" hidden="false" customHeight="false" outlineLevel="0" collapsed="false">
      <c r="A104" s="1"/>
      <c r="B104" s="32"/>
      <c r="C104" s="31"/>
      <c r="D104" s="30"/>
      <c r="E104" s="30"/>
      <c r="F104" s="15" t="str">
        <f aca="true">IF(C104="","",IF(E104&lt;&gt;"","paid ✓ — nice",IF(D104="","waiting",IF(D104&lt;TODAY(),"overdue "&amp;(TODAY()-D104)&amp;" days — chase gently","due in "&amp;(D104-TODAY())&amp;" days"))))</f>
        <v/>
      </c>
      <c r="G104" s="1"/>
    </row>
    <row r="105" customFormat="false" ht="15" hidden="false" customHeight="false" outlineLevel="0" collapsed="false">
      <c r="A105" s="1"/>
      <c r="B105" s="32"/>
      <c r="C105" s="31"/>
      <c r="D105" s="30"/>
      <c r="E105" s="30"/>
      <c r="F105" s="15" t="str">
        <f aca="true">IF(C105="","",IF(E105&lt;&gt;"","paid ✓ — nice",IF(D105="","waiting",IF(D105&lt;TODAY(),"overdue "&amp;(TODAY()-D105)&amp;" days — chase gently","due in "&amp;(D105-TODAY())&amp;" days"))))</f>
        <v/>
      </c>
      <c r="G105" s="1"/>
    </row>
    <row r="106" customFormat="false" ht="15" hidden="false" customHeight="false" outlineLevel="0" collapsed="false">
      <c r="A106" s="1"/>
      <c r="B106" s="32"/>
      <c r="C106" s="31"/>
      <c r="D106" s="30"/>
      <c r="E106" s="30"/>
      <c r="F106" s="15" t="str">
        <f aca="true">IF(C106="","",IF(E106&lt;&gt;"","paid ✓ — nice",IF(D106="","waiting",IF(D106&lt;TODAY(),"overdue "&amp;(TODAY()-D106)&amp;" days — chase gently","due in "&amp;(D106-TODAY())&amp;" days"))))</f>
        <v/>
      </c>
      <c r="G106" s="1"/>
    </row>
    <row r="107" customFormat="false" ht="15" hidden="false" customHeight="false" outlineLevel="0" collapsed="false">
      <c r="A107" s="1"/>
      <c r="B107" s="32"/>
      <c r="C107" s="31"/>
      <c r="D107" s="30"/>
      <c r="E107" s="30"/>
      <c r="F107" s="15" t="str">
        <f aca="true">IF(C107="","",IF(E107&lt;&gt;"","paid ✓ — nice",IF(D107="","waiting",IF(D107&lt;TODAY(),"overdue "&amp;(TODAY()-D107)&amp;" days — chase gently","due in "&amp;(D107-TODAY())&amp;" days"))))</f>
        <v/>
      </c>
      <c r="G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  <c r="G109" s="1"/>
    </row>
  </sheetData>
  <conditionalFormatting sqref="F8:F107">
    <cfRule type="expression" priority="2" aboveAverage="0" equalAverage="0" bottom="0" percent="0" rank="0" text="" dxfId="2">
      <formula>LEFT(F8,4)="paid"</formula>
    </cfRule>
    <cfRule type="expression" priority="3" aboveAverage="0" equalAverage="0" bottom="0" percent="0" rank="0" text="" dxfId="3">
      <formula>LEFT(F8,7)="overdue"</formula>
    </cfRule>
  </conditionalFormatting>
  <dataValidations count="1">
    <dataValidation allowBlank="true" error="Type a date, like 03/11/2026." errorStyle="stop" operator="greaterThan" showDropDown="false" showErrorMessage="true" showInputMessage="false" sqref="D8:E107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BBBBB"/>
    <pageSetUpPr fitToPage="false"/>
  </sheetPr>
  <dimension ref="A1:F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4" min="3" style="0" width="18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</row>
    <row r="2" customFormat="false" ht="39.75" hidden="false" customHeight="true" outlineLevel="0" collapsed="false">
      <c r="A2" s="1"/>
      <c r="B2" s="2" t="s">
        <v>60</v>
      </c>
      <c r="C2" s="1"/>
      <c r="D2" s="1"/>
      <c r="E2" s="1"/>
      <c r="F2" s="1"/>
    </row>
    <row r="3" customFormat="false" ht="15" hidden="false" customHeight="false" outlineLevel="0" collapsed="false">
      <c r="A3" s="1"/>
      <c r="B3" s="3" t="s">
        <v>61</v>
      </c>
      <c r="C3" s="1"/>
      <c r="D3" s="1"/>
      <c r="E3" s="1"/>
      <c r="F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</row>
    <row r="6" customFormat="false" ht="15" hidden="false" customHeight="false" outlineLevel="0" collapsed="false">
      <c r="A6" s="1"/>
      <c r="B6" s="29" t="s">
        <v>62</v>
      </c>
      <c r="C6" s="29" t="s">
        <v>63</v>
      </c>
      <c r="D6" s="29" t="s">
        <v>64</v>
      </c>
      <c r="E6" s="29" t="s">
        <v>65</v>
      </c>
      <c r="F6" s="1"/>
    </row>
    <row r="7" customFormat="false" ht="15" hidden="false" customHeight="false" outlineLevel="0" collapsed="false">
      <c r="A7" s="1"/>
      <c r="B7" s="18" t="s">
        <v>66</v>
      </c>
      <c r="C7" s="18" t="s">
        <v>67</v>
      </c>
      <c r="D7" s="18" t="s">
        <v>3</v>
      </c>
      <c r="E7" s="1"/>
      <c r="F7" s="1"/>
    </row>
    <row r="8" customFormat="false" ht="15" hidden="false" customHeight="false" outlineLevel="0" collapsed="false">
      <c r="A8" s="1"/>
      <c r="B8" s="32"/>
      <c r="C8" s="31"/>
      <c r="D8" s="32"/>
      <c r="E8" s="15" t="str">
        <f aca="true">IF(OR(C8="",D8=""),"",IF(D8&gt;DAY(TODAY()),"still to pay","paid ✓"))</f>
        <v/>
      </c>
      <c r="F8" s="1"/>
    </row>
    <row r="9" customFormat="false" ht="15" hidden="false" customHeight="false" outlineLevel="0" collapsed="false">
      <c r="A9" s="1"/>
      <c r="B9" s="32"/>
      <c r="C9" s="31"/>
      <c r="D9" s="32"/>
      <c r="E9" s="15" t="str">
        <f aca="true">IF(OR(C9="",D9=""),"",IF(D9&gt;DAY(TODAY()),"still to pay","paid ✓"))</f>
        <v/>
      </c>
      <c r="F9" s="1"/>
    </row>
    <row r="10" customFormat="false" ht="15" hidden="false" customHeight="false" outlineLevel="0" collapsed="false">
      <c r="A10" s="1"/>
      <c r="B10" s="32"/>
      <c r="C10" s="31"/>
      <c r="D10" s="32"/>
      <c r="E10" s="15" t="str">
        <f aca="true">IF(OR(C10="",D10=""),"",IF(D10&gt;DAY(TODAY()),"still to pay","paid ✓"))</f>
        <v/>
      </c>
      <c r="F10" s="1"/>
    </row>
    <row r="11" customFormat="false" ht="15" hidden="false" customHeight="false" outlineLevel="0" collapsed="false">
      <c r="A11" s="1"/>
      <c r="B11" s="32"/>
      <c r="C11" s="31"/>
      <c r="D11" s="32"/>
      <c r="E11" s="15" t="str">
        <f aca="true">IF(OR(C11="",D11=""),"",IF(D11&gt;DAY(TODAY()),"still to pay","paid ✓"))</f>
        <v/>
      </c>
      <c r="F11" s="1"/>
    </row>
    <row r="12" customFormat="false" ht="15" hidden="false" customHeight="false" outlineLevel="0" collapsed="false">
      <c r="A12" s="1"/>
      <c r="B12" s="32"/>
      <c r="C12" s="31"/>
      <c r="D12" s="32"/>
      <c r="E12" s="15" t="str">
        <f aca="true">IF(OR(C12="",D12=""),"",IF(D12&gt;DAY(TODAY()),"still to pay","paid ✓"))</f>
        <v/>
      </c>
      <c r="F12" s="1"/>
    </row>
    <row r="13" customFormat="false" ht="15" hidden="false" customHeight="false" outlineLevel="0" collapsed="false">
      <c r="A13" s="1"/>
      <c r="B13" s="32"/>
      <c r="C13" s="31"/>
      <c r="D13" s="32"/>
      <c r="E13" s="15" t="str">
        <f aca="true">IF(OR(C13="",D13=""),"",IF(D13&gt;DAY(TODAY()),"still to pay","paid ✓"))</f>
        <v/>
      </c>
      <c r="F13" s="1"/>
    </row>
    <row r="14" customFormat="false" ht="15" hidden="false" customHeight="false" outlineLevel="0" collapsed="false">
      <c r="A14" s="1"/>
      <c r="B14" s="32"/>
      <c r="C14" s="31"/>
      <c r="D14" s="32"/>
      <c r="E14" s="15" t="str">
        <f aca="true">IF(OR(C14="",D14=""),"",IF(D14&gt;DAY(TODAY()),"still to pay","paid ✓"))</f>
        <v/>
      </c>
      <c r="F14" s="1"/>
    </row>
    <row r="15" customFormat="false" ht="15" hidden="false" customHeight="false" outlineLevel="0" collapsed="false">
      <c r="A15" s="1"/>
      <c r="B15" s="32"/>
      <c r="C15" s="31"/>
      <c r="D15" s="32"/>
      <c r="E15" s="15" t="str">
        <f aca="true">IF(OR(C15="",D15=""),"",IF(D15&gt;DAY(TODAY()),"still to pay","paid ✓"))</f>
        <v/>
      </c>
      <c r="F15" s="1"/>
    </row>
    <row r="16" customFormat="false" ht="15" hidden="false" customHeight="false" outlineLevel="0" collapsed="false">
      <c r="A16" s="1"/>
      <c r="B16" s="32"/>
      <c r="C16" s="31"/>
      <c r="D16" s="32"/>
      <c r="E16" s="15" t="str">
        <f aca="true">IF(OR(C16="",D16=""),"",IF(D16&gt;DAY(TODAY()),"still to pay","paid ✓"))</f>
        <v/>
      </c>
      <c r="F16" s="1"/>
    </row>
    <row r="17" customFormat="false" ht="15" hidden="false" customHeight="false" outlineLevel="0" collapsed="false">
      <c r="A17" s="1"/>
      <c r="B17" s="32"/>
      <c r="C17" s="31"/>
      <c r="D17" s="32"/>
      <c r="E17" s="15" t="str">
        <f aca="true">IF(OR(C17="",D17=""),"",IF(D17&gt;DAY(TODAY()),"still to pay","paid ✓"))</f>
        <v/>
      </c>
      <c r="F17" s="1"/>
    </row>
    <row r="18" customFormat="false" ht="15" hidden="false" customHeight="false" outlineLevel="0" collapsed="false">
      <c r="A18" s="1"/>
      <c r="B18" s="32"/>
      <c r="C18" s="31"/>
      <c r="D18" s="32"/>
      <c r="E18" s="15" t="str">
        <f aca="true">IF(OR(C18="",D18=""),"",IF(D18&gt;DAY(TODAY()),"still to pay","paid ✓"))</f>
        <v/>
      </c>
      <c r="F18" s="1"/>
    </row>
    <row r="19" customFormat="false" ht="15" hidden="false" customHeight="false" outlineLevel="0" collapsed="false">
      <c r="A19" s="1"/>
      <c r="B19" s="32"/>
      <c r="C19" s="31"/>
      <c r="D19" s="32"/>
      <c r="E19" s="15" t="str">
        <f aca="true">IF(OR(C19="",D19=""),"",IF(D19&gt;DAY(TODAY()),"still to pay","paid ✓"))</f>
        <v/>
      </c>
      <c r="F19" s="1"/>
    </row>
    <row r="20" customFormat="false" ht="15" hidden="false" customHeight="false" outlineLevel="0" collapsed="false">
      <c r="A20" s="1"/>
      <c r="B20" s="32"/>
      <c r="C20" s="31"/>
      <c r="D20" s="32"/>
      <c r="E20" s="15" t="str">
        <f aca="true">IF(OR(C20="",D20=""),"",IF(D20&gt;DAY(TODAY()),"still to pay","paid ✓"))</f>
        <v/>
      </c>
      <c r="F20" s="1"/>
    </row>
    <row r="21" customFormat="false" ht="15" hidden="false" customHeight="false" outlineLevel="0" collapsed="false">
      <c r="A21" s="1"/>
      <c r="B21" s="32"/>
      <c r="C21" s="31"/>
      <c r="D21" s="32"/>
      <c r="E21" s="15" t="str">
        <f aca="true">IF(OR(C21="",D21=""),"",IF(D21&gt;DAY(TODAY()),"still to pay","paid ✓"))</f>
        <v/>
      </c>
      <c r="F21" s="1"/>
    </row>
    <row r="22" customFormat="false" ht="15" hidden="false" customHeight="false" outlineLevel="0" collapsed="false">
      <c r="A22" s="1"/>
      <c r="B22" s="32"/>
      <c r="C22" s="31"/>
      <c r="D22" s="32"/>
      <c r="E22" s="15" t="str">
        <f aca="true">IF(OR(C22="",D22=""),"",IF(D22&gt;DAY(TODAY()),"still to pay","paid ✓"))</f>
        <v/>
      </c>
      <c r="F22" s="1"/>
    </row>
    <row r="23" customFormat="false" ht="15" hidden="false" customHeight="false" outlineLevel="0" collapsed="false">
      <c r="A23" s="1"/>
      <c r="B23" s="32"/>
      <c r="C23" s="31"/>
      <c r="D23" s="32"/>
      <c r="E23" s="15" t="str">
        <f aca="true">IF(OR(C23="",D23=""),"",IF(D23&gt;DAY(TODAY()),"still to pay","paid ✓"))</f>
        <v/>
      </c>
      <c r="F23" s="1"/>
    </row>
    <row r="24" customFormat="false" ht="15" hidden="false" customHeight="false" outlineLevel="0" collapsed="false">
      <c r="A24" s="1"/>
      <c r="B24" s="32"/>
      <c r="C24" s="31"/>
      <c r="D24" s="32"/>
      <c r="E24" s="15" t="str">
        <f aca="true">IF(OR(C24="",D24=""),"",IF(D24&gt;DAY(TODAY()),"still to pay","paid ✓"))</f>
        <v/>
      </c>
      <c r="F24" s="1"/>
    </row>
    <row r="25" customFormat="false" ht="15" hidden="false" customHeight="false" outlineLevel="0" collapsed="false">
      <c r="A25" s="1"/>
      <c r="B25" s="32"/>
      <c r="C25" s="31"/>
      <c r="D25" s="32"/>
      <c r="E25" s="15" t="str">
        <f aca="true">IF(OR(C25="",D25=""),"",IF(D25&gt;DAY(TODAY()),"still to pay","paid ✓"))</f>
        <v/>
      </c>
      <c r="F25" s="1"/>
    </row>
    <row r="26" customFormat="false" ht="15" hidden="false" customHeight="false" outlineLevel="0" collapsed="false">
      <c r="A26" s="1"/>
      <c r="B26" s="32"/>
      <c r="C26" s="31"/>
      <c r="D26" s="32"/>
      <c r="E26" s="15" t="str">
        <f aca="true">IF(OR(C26="",D26=""),"",IF(D26&gt;DAY(TODAY()),"still to pay","paid ✓"))</f>
        <v/>
      </c>
      <c r="F26" s="1"/>
    </row>
    <row r="27" customFormat="false" ht="15" hidden="false" customHeight="false" outlineLevel="0" collapsed="false">
      <c r="A27" s="1"/>
      <c r="B27" s="32"/>
      <c r="C27" s="31"/>
      <c r="D27" s="32"/>
      <c r="E27" s="15" t="str">
        <f aca="true">IF(OR(C27="",D27=""),"",IF(D27&gt;DAY(TODAY()),"still to pay","paid ✓"))</f>
        <v/>
      </c>
      <c r="F27" s="1"/>
    </row>
    <row r="28" customFormat="false" ht="15" hidden="false" customHeight="false" outlineLevel="0" collapsed="false">
      <c r="A28" s="1"/>
      <c r="B28" s="32"/>
      <c r="C28" s="31"/>
      <c r="D28" s="32"/>
      <c r="E28" s="15" t="str">
        <f aca="true">IF(OR(C28="",D28=""),"",IF(D28&gt;DAY(TODAY()),"still to pay","paid ✓"))</f>
        <v/>
      </c>
      <c r="F28" s="1"/>
    </row>
    <row r="29" customFormat="false" ht="15" hidden="false" customHeight="false" outlineLevel="0" collapsed="false">
      <c r="A29" s="1"/>
      <c r="B29" s="32"/>
      <c r="C29" s="31"/>
      <c r="D29" s="32"/>
      <c r="E29" s="15" t="str">
        <f aca="true">IF(OR(C29="",D29=""),"",IF(D29&gt;DAY(TODAY()),"still to pay","paid ✓"))</f>
        <v/>
      </c>
      <c r="F29" s="1"/>
    </row>
    <row r="30" customFormat="false" ht="15" hidden="false" customHeight="false" outlineLevel="0" collapsed="false">
      <c r="A30" s="1"/>
      <c r="B30" s="32"/>
      <c r="C30" s="31"/>
      <c r="D30" s="32"/>
      <c r="E30" s="15" t="str">
        <f aca="true">IF(OR(C30="",D30=""),"",IF(D30&gt;DAY(TODAY()),"still to pay","paid ✓"))</f>
        <v/>
      </c>
      <c r="F30" s="1"/>
    </row>
    <row r="31" customFormat="false" ht="15" hidden="false" customHeight="false" outlineLevel="0" collapsed="false">
      <c r="A31" s="1"/>
      <c r="B31" s="32"/>
      <c r="C31" s="31"/>
      <c r="D31" s="32"/>
      <c r="E31" s="15" t="str">
        <f aca="true">IF(OR(C31="",D31=""),"",IF(D31&gt;DAY(TODAY()),"still to pay","paid ✓"))</f>
        <v/>
      </c>
      <c r="F31" s="1"/>
    </row>
    <row r="32" customFormat="false" ht="15" hidden="false" customHeight="false" outlineLevel="0" collapsed="false">
      <c r="A32" s="1"/>
      <c r="B32" s="32"/>
      <c r="C32" s="31"/>
      <c r="D32" s="32"/>
      <c r="E32" s="15" t="str">
        <f aca="true">IF(OR(C32="",D32=""),"",IF(D32&gt;DAY(TODAY()),"still to pay","paid ✓"))</f>
        <v/>
      </c>
      <c r="F32" s="1"/>
    </row>
    <row r="33" customFormat="false" ht="15" hidden="false" customHeight="false" outlineLevel="0" collapsed="false">
      <c r="A33" s="1"/>
      <c r="B33" s="32"/>
      <c r="C33" s="31"/>
      <c r="D33" s="32"/>
      <c r="E33" s="15" t="str">
        <f aca="true">IF(OR(C33="",D33=""),"",IF(D33&gt;DAY(TODAY()),"still to pay","paid ✓"))</f>
        <v/>
      </c>
      <c r="F33" s="1"/>
    </row>
    <row r="34" customFormat="false" ht="15" hidden="false" customHeight="false" outlineLevel="0" collapsed="false">
      <c r="A34" s="1"/>
      <c r="B34" s="32"/>
      <c r="C34" s="31"/>
      <c r="D34" s="32"/>
      <c r="E34" s="15" t="str">
        <f aca="true">IF(OR(C34="",D34=""),"",IF(D34&gt;DAY(TODAY()),"still to pay","paid ✓"))</f>
        <v/>
      </c>
      <c r="F34" s="1"/>
    </row>
    <row r="35" customFormat="false" ht="15" hidden="false" customHeight="false" outlineLevel="0" collapsed="false">
      <c r="A35" s="1"/>
      <c r="B35" s="32"/>
      <c r="C35" s="31"/>
      <c r="D35" s="32"/>
      <c r="E35" s="15" t="str">
        <f aca="true">IF(OR(C35="",D35=""),"",IF(D35&gt;DAY(TODAY()),"still to pay","paid ✓"))</f>
        <v/>
      </c>
      <c r="F35" s="1"/>
    </row>
    <row r="36" customFormat="false" ht="15" hidden="false" customHeight="false" outlineLevel="0" collapsed="false">
      <c r="A36" s="1"/>
      <c r="B36" s="32"/>
      <c r="C36" s="31"/>
      <c r="D36" s="32"/>
      <c r="E36" s="15" t="str">
        <f aca="true">IF(OR(C36="",D36=""),"",IF(D36&gt;DAY(TODAY()),"still to pay","paid ✓"))</f>
        <v/>
      </c>
      <c r="F36" s="1"/>
    </row>
    <row r="37" customFormat="false" ht="15" hidden="false" customHeight="false" outlineLevel="0" collapsed="false">
      <c r="A37" s="1"/>
      <c r="B37" s="32"/>
      <c r="C37" s="31"/>
      <c r="D37" s="32"/>
      <c r="E37" s="15" t="str">
        <f aca="true">IF(OR(C37="",D37=""),"",IF(D37&gt;DAY(TODAY()),"still to pay","paid ✓"))</f>
        <v/>
      </c>
      <c r="F37" s="1"/>
    </row>
    <row r="38" customFormat="false" ht="15" hidden="false" customHeight="false" outlineLevel="0" collapsed="false">
      <c r="A38" s="1"/>
      <c r="B38" s="32"/>
      <c r="C38" s="31"/>
      <c r="D38" s="32"/>
      <c r="E38" s="15" t="str">
        <f aca="true">IF(OR(C38="",D38=""),"",IF(D38&gt;DAY(TODAY()),"still to pay","paid ✓"))</f>
        <v/>
      </c>
      <c r="F38" s="1"/>
    </row>
    <row r="39" customFormat="false" ht="15" hidden="false" customHeight="false" outlineLevel="0" collapsed="false">
      <c r="A39" s="1"/>
      <c r="B39" s="32"/>
      <c r="C39" s="31"/>
      <c r="D39" s="32"/>
      <c r="E39" s="15" t="str">
        <f aca="true">IF(OR(C39="",D39=""),"",IF(D39&gt;DAY(TODAY()),"still to pay","paid ✓"))</f>
        <v/>
      </c>
      <c r="F39" s="1"/>
    </row>
    <row r="40" customFormat="false" ht="15" hidden="false" customHeight="false" outlineLevel="0" collapsed="false">
      <c r="A40" s="1"/>
      <c r="B40" s="32"/>
      <c r="C40" s="31"/>
      <c r="D40" s="32"/>
      <c r="E40" s="15" t="str">
        <f aca="true">IF(OR(C40="",D40=""),"",IF(D40&gt;DAY(TODAY()),"still to pay","paid ✓"))</f>
        <v/>
      </c>
      <c r="F40" s="1"/>
    </row>
    <row r="41" customFormat="false" ht="15" hidden="false" customHeight="false" outlineLevel="0" collapsed="false">
      <c r="A41" s="1"/>
      <c r="B41" s="32"/>
      <c r="C41" s="31"/>
      <c r="D41" s="32"/>
      <c r="E41" s="15" t="str">
        <f aca="true">IF(OR(C41="",D41=""),"",IF(D41&gt;DAY(TODAY()),"still to pay","paid ✓"))</f>
        <v/>
      </c>
      <c r="F41" s="1"/>
    </row>
    <row r="42" customFormat="false" ht="15" hidden="false" customHeight="false" outlineLevel="0" collapsed="false">
      <c r="A42" s="1"/>
      <c r="B42" s="32"/>
      <c r="C42" s="31"/>
      <c r="D42" s="32"/>
      <c r="E42" s="15" t="str">
        <f aca="true">IF(OR(C42="",D42=""),"",IF(D42&gt;DAY(TODAY()),"still to pay","paid ✓"))</f>
        <v/>
      </c>
      <c r="F42" s="1"/>
    </row>
    <row r="43" customFormat="false" ht="15" hidden="false" customHeight="false" outlineLevel="0" collapsed="false">
      <c r="A43" s="1"/>
      <c r="B43" s="32"/>
      <c r="C43" s="31"/>
      <c r="D43" s="32"/>
      <c r="E43" s="15" t="str">
        <f aca="true">IF(OR(C43="",D43=""),"",IF(D43&gt;DAY(TODAY()),"still to pay","paid ✓"))</f>
        <v/>
      </c>
      <c r="F43" s="1"/>
    </row>
    <row r="44" customFormat="false" ht="15" hidden="false" customHeight="false" outlineLevel="0" collapsed="false">
      <c r="A44" s="1"/>
      <c r="B44" s="32"/>
      <c r="C44" s="31"/>
      <c r="D44" s="32"/>
      <c r="E44" s="15" t="str">
        <f aca="true">IF(OR(C44="",D44=""),"",IF(D44&gt;DAY(TODAY()),"still to pay","paid ✓"))</f>
        <v/>
      </c>
      <c r="F44" s="1"/>
    </row>
    <row r="45" customFormat="false" ht="15" hidden="false" customHeight="false" outlineLevel="0" collapsed="false">
      <c r="A45" s="1"/>
      <c r="B45" s="32"/>
      <c r="C45" s="31"/>
      <c r="D45" s="32"/>
      <c r="E45" s="15" t="str">
        <f aca="true">IF(OR(C45="",D45=""),"",IF(D45&gt;DAY(TODAY()),"still to pay","paid ✓"))</f>
        <v/>
      </c>
      <c r="F45" s="1"/>
    </row>
    <row r="46" customFormat="false" ht="15" hidden="false" customHeight="false" outlineLevel="0" collapsed="false">
      <c r="A46" s="1"/>
      <c r="B46" s="32"/>
      <c r="C46" s="31"/>
      <c r="D46" s="32"/>
      <c r="E46" s="15" t="str">
        <f aca="true">IF(OR(C46="",D46=""),"",IF(D46&gt;DAY(TODAY()),"still to pay","paid ✓"))</f>
        <v/>
      </c>
      <c r="F46" s="1"/>
    </row>
    <row r="47" customFormat="false" ht="15" hidden="false" customHeight="false" outlineLevel="0" collapsed="false">
      <c r="A47" s="1"/>
      <c r="B47" s="32"/>
      <c r="C47" s="31"/>
      <c r="D47" s="32"/>
      <c r="E47" s="15" t="str">
        <f aca="true">IF(OR(C47="",D47=""),"",IF(D47&gt;DAY(TODAY()),"still to pay","paid ✓"))</f>
        <v/>
      </c>
      <c r="F47" s="1"/>
    </row>
    <row r="48" customFormat="false" ht="15" hidden="false" customHeight="false" outlineLevel="0" collapsed="false">
      <c r="A48" s="1"/>
      <c r="B48" s="32"/>
      <c r="C48" s="31"/>
      <c r="D48" s="32"/>
      <c r="E48" s="15" t="str">
        <f aca="true">IF(OR(C48="",D48=""),"",IF(D48&gt;DAY(TODAY()),"still to pay","paid ✓"))</f>
        <v/>
      </c>
      <c r="F48" s="1"/>
    </row>
    <row r="49" customFormat="false" ht="15" hidden="false" customHeight="false" outlineLevel="0" collapsed="false">
      <c r="A49" s="1"/>
      <c r="B49" s="32"/>
      <c r="C49" s="31"/>
      <c r="D49" s="32"/>
      <c r="E49" s="15" t="str">
        <f aca="true">IF(OR(C49="",D49=""),"",IF(D49&gt;DAY(TODAY()),"still to pay","paid ✓"))</f>
        <v/>
      </c>
      <c r="F49" s="1"/>
    </row>
    <row r="50" customFormat="false" ht="15" hidden="false" customHeight="false" outlineLevel="0" collapsed="false">
      <c r="A50" s="1"/>
      <c r="B50" s="32"/>
      <c r="C50" s="31"/>
      <c r="D50" s="32"/>
      <c r="E50" s="15" t="str">
        <f aca="true">IF(OR(C50="",D50=""),"",IF(D50&gt;DAY(TODAY()),"still to pay","paid ✓"))</f>
        <v/>
      </c>
      <c r="F50" s="1"/>
    </row>
    <row r="51" customFormat="false" ht="15" hidden="false" customHeight="false" outlineLevel="0" collapsed="false">
      <c r="A51" s="1"/>
      <c r="B51" s="32"/>
      <c r="C51" s="31"/>
      <c r="D51" s="32"/>
      <c r="E51" s="15" t="str">
        <f aca="true">IF(OR(C51="",D51=""),"",IF(D51&gt;DAY(TODAY()),"still to pay","paid ✓"))</f>
        <v/>
      </c>
      <c r="F51" s="1"/>
    </row>
    <row r="52" customFormat="false" ht="15" hidden="false" customHeight="false" outlineLevel="0" collapsed="false">
      <c r="A52" s="1"/>
      <c r="B52" s="32"/>
      <c r="C52" s="31"/>
      <c r="D52" s="32"/>
      <c r="E52" s="15" t="str">
        <f aca="true">IF(OR(C52="",D52=""),"",IF(D52&gt;DAY(TODAY()),"still to pay","paid ✓"))</f>
        <v/>
      </c>
      <c r="F52" s="1"/>
    </row>
    <row r="53" customFormat="false" ht="15" hidden="false" customHeight="false" outlineLevel="0" collapsed="false">
      <c r="A53" s="1"/>
      <c r="B53" s="32"/>
      <c r="C53" s="31"/>
      <c r="D53" s="32"/>
      <c r="E53" s="15" t="str">
        <f aca="true">IF(OR(C53="",D53=""),"",IF(D53&gt;DAY(TODAY()),"still to pay","paid ✓"))</f>
        <v/>
      </c>
      <c r="F53" s="1"/>
    </row>
    <row r="54" customFormat="false" ht="15" hidden="false" customHeight="false" outlineLevel="0" collapsed="false">
      <c r="A54" s="1"/>
      <c r="B54" s="32"/>
      <c r="C54" s="31"/>
      <c r="D54" s="32"/>
      <c r="E54" s="15" t="str">
        <f aca="true">IF(OR(C54="",D54=""),"",IF(D54&gt;DAY(TODAY()),"still to pay","paid ✓"))</f>
        <v/>
      </c>
      <c r="F54" s="1"/>
    </row>
    <row r="55" customFormat="false" ht="15" hidden="false" customHeight="false" outlineLevel="0" collapsed="false">
      <c r="A55" s="1"/>
      <c r="B55" s="32"/>
      <c r="C55" s="31"/>
      <c r="D55" s="32"/>
      <c r="E55" s="15" t="str">
        <f aca="true">IF(OR(C55="",D55=""),"",IF(D55&gt;DAY(TODAY()),"still to pay","paid ✓"))</f>
        <v/>
      </c>
      <c r="F55" s="1"/>
    </row>
    <row r="56" customFormat="false" ht="15" hidden="false" customHeight="false" outlineLevel="0" collapsed="false">
      <c r="A56" s="1"/>
      <c r="B56" s="32"/>
      <c r="C56" s="31"/>
      <c r="D56" s="32"/>
      <c r="E56" s="15" t="str">
        <f aca="true">IF(OR(C56="",D56=""),"",IF(D56&gt;DAY(TODAY()),"still to pay","paid ✓"))</f>
        <v/>
      </c>
      <c r="F56" s="1"/>
    </row>
    <row r="57" customFormat="false" ht="15" hidden="false" customHeight="false" outlineLevel="0" collapsed="false">
      <c r="A57" s="1"/>
      <c r="B57" s="32"/>
      <c r="C57" s="31"/>
      <c r="D57" s="32"/>
      <c r="E57" s="15" t="str">
        <f aca="true">IF(OR(C57="",D57=""),"",IF(D57&gt;DAY(TODAY()),"still to pay","paid ✓"))</f>
        <v/>
      </c>
      <c r="F57" s="1"/>
    </row>
    <row r="58" customFormat="false" ht="15" hidden="false" customHeight="false" outlineLevel="0" collapsed="false">
      <c r="A58" s="1"/>
      <c r="B58" s="32"/>
      <c r="C58" s="31"/>
      <c r="D58" s="32"/>
      <c r="E58" s="15" t="str">
        <f aca="true">IF(OR(C58="",D58=""),"",IF(D58&gt;DAY(TODAY()),"still to pay","paid ✓"))</f>
        <v/>
      </c>
      <c r="F58" s="1"/>
    </row>
    <row r="59" customFormat="false" ht="15" hidden="false" customHeight="false" outlineLevel="0" collapsed="false">
      <c r="A59" s="1"/>
      <c r="B59" s="32"/>
      <c r="C59" s="31"/>
      <c r="D59" s="32"/>
      <c r="E59" s="15" t="str">
        <f aca="true">IF(OR(C59="",D59=""),"",IF(D59&gt;DAY(TODAY()),"still to pay","paid ✓"))</f>
        <v/>
      </c>
      <c r="F59" s="1"/>
    </row>
    <row r="60" customFormat="false" ht="15" hidden="false" customHeight="false" outlineLevel="0" collapsed="false">
      <c r="A60" s="1"/>
      <c r="B60" s="32"/>
      <c r="C60" s="31"/>
      <c r="D60" s="32"/>
      <c r="E60" s="15" t="str">
        <f aca="true">IF(OR(C60="",D60=""),"",IF(D60&gt;DAY(TODAY()),"still to pay","paid ✓"))</f>
        <v/>
      </c>
      <c r="F60" s="1"/>
    </row>
    <row r="61" customFormat="false" ht="15" hidden="false" customHeight="false" outlineLevel="0" collapsed="false">
      <c r="A61" s="1"/>
      <c r="B61" s="32"/>
      <c r="C61" s="31"/>
      <c r="D61" s="32"/>
      <c r="E61" s="15" t="str">
        <f aca="true">IF(OR(C61="",D61=""),"",IF(D61&gt;DAY(TODAY()),"still to pay","paid ✓"))</f>
        <v/>
      </c>
      <c r="F61" s="1"/>
    </row>
    <row r="62" customFormat="false" ht="15" hidden="false" customHeight="false" outlineLevel="0" collapsed="false">
      <c r="A62" s="1"/>
      <c r="B62" s="32"/>
      <c r="C62" s="31"/>
      <c r="D62" s="32"/>
      <c r="E62" s="15" t="str">
        <f aca="true">IF(OR(C62="",D62=""),"",IF(D62&gt;DAY(TODAY()),"still to pay","paid ✓"))</f>
        <v/>
      </c>
      <c r="F62" s="1"/>
    </row>
    <row r="63" customFormat="false" ht="15" hidden="false" customHeight="false" outlineLevel="0" collapsed="false">
      <c r="A63" s="1"/>
      <c r="B63" s="32"/>
      <c r="C63" s="31"/>
      <c r="D63" s="32"/>
      <c r="E63" s="15" t="str">
        <f aca="true">IF(OR(C63="",D63=""),"",IF(D63&gt;DAY(TODAY()),"still to pay","paid ✓"))</f>
        <v/>
      </c>
      <c r="F63" s="1"/>
    </row>
    <row r="64" customFormat="false" ht="15" hidden="false" customHeight="false" outlineLevel="0" collapsed="false">
      <c r="A64" s="1"/>
      <c r="B64" s="32"/>
      <c r="C64" s="31"/>
      <c r="D64" s="32"/>
      <c r="E64" s="15" t="str">
        <f aca="true">IF(OR(C64="",D64=""),"",IF(D64&gt;DAY(TODAY()),"still to pay","paid ✓"))</f>
        <v/>
      </c>
      <c r="F64" s="1"/>
    </row>
    <row r="65" customFormat="false" ht="15" hidden="false" customHeight="false" outlineLevel="0" collapsed="false">
      <c r="A65" s="1"/>
      <c r="B65" s="32"/>
      <c r="C65" s="31"/>
      <c r="D65" s="32"/>
      <c r="E65" s="15" t="str">
        <f aca="true">IF(OR(C65="",D65=""),"",IF(D65&gt;DAY(TODAY()),"still to pay","paid ✓"))</f>
        <v/>
      </c>
      <c r="F65" s="1"/>
    </row>
    <row r="66" customFormat="false" ht="15" hidden="false" customHeight="false" outlineLevel="0" collapsed="false">
      <c r="A66" s="1"/>
      <c r="B66" s="32"/>
      <c r="C66" s="31"/>
      <c r="D66" s="32"/>
      <c r="E66" s="15" t="str">
        <f aca="true">IF(OR(C66="",D66=""),"",IF(D66&gt;DAY(TODAY()),"still to pay","paid ✓"))</f>
        <v/>
      </c>
      <c r="F66" s="1"/>
    </row>
    <row r="67" customFormat="false" ht="15" hidden="false" customHeight="false" outlineLevel="0" collapsed="false">
      <c r="A67" s="1"/>
      <c r="B67" s="32"/>
      <c r="C67" s="31"/>
      <c r="D67" s="32"/>
      <c r="E67" s="15" t="str">
        <f aca="true">IF(OR(C67="",D67=""),"",IF(D67&gt;DAY(TODAY()),"still to pay","paid ✓"))</f>
        <v/>
      </c>
      <c r="F67" s="1"/>
    </row>
    <row r="68" customFormat="false" ht="15" hidden="false" customHeight="false" outlineLevel="0" collapsed="false">
      <c r="A68" s="1"/>
      <c r="B68" s="32"/>
      <c r="C68" s="31"/>
      <c r="D68" s="32"/>
      <c r="E68" s="15" t="str">
        <f aca="true">IF(OR(C68="",D68=""),"",IF(D68&gt;DAY(TODAY()),"still to pay","paid ✓"))</f>
        <v/>
      </c>
      <c r="F68" s="1"/>
    </row>
    <row r="69" customFormat="false" ht="15" hidden="false" customHeight="false" outlineLevel="0" collapsed="false">
      <c r="A69" s="1"/>
      <c r="B69" s="32"/>
      <c r="C69" s="31"/>
      <c r="D69" s="32"/>
      <c r="E69" s="15" t="str">
        <f aca="true">IF(OR(C69="",D69=""),"",IF(D69&gt;DAY(TODAY()),"still to pay","paid ✓"))</f>
        <v/>
      </c>
      <c r="F69" s="1"/>
    </row>
    <row r="70" customFormat="false" ht="15" hidden="false" customHeight="false" outlineLevel="0" collapsed="false">
      <c r="A70" s="1"/>
      <c r="B70" s="32"/>
      <c r="C70" s="31"/>
      <c r="D70" s="32"/>
      <c r="E70" s="15" t="str">
        <f aca="true">IF(OR(C70="",D70=""),"",IF(D70&gt;DAY(TODAY()),"still to pay","paid ✓"))</f>
        <v/>
      </c>
      <c r="F70" s="1"/>
    </row>
    <row r="71" customFormat="false" ht="15" hidden="false" customHeight="false" outlineLevel="0" collapsed="false">
      <c r="A71" s="1"/>
      <c r="B71" s="32"/>
      <c r="C71" s="31"/>
      <c r="D71" s="32"/>
      <c r="E71" s="15" t="str">
        <f aca="true">IF(OR(C71="",D71=""),"",IF(D71&gt;DAY(TODAY()),"still to pay","paid ✓"))</f>
        <v/>
      </c>
      <c r="F71" s="1"/>
    </row>
    <row r="72" customFormat="false" ht="15" hidden="false" customHeight="false" outlineLevel="0" collapsed="false">
      <c r="A72" s="1"/>
      <c r="B72" s="32"/>
      <c r="C72" s="31"/>
      <c r="D72" s="32"/>
      <c r="E72" s="15" t="str">
        <f aca="true">IF(OR(C72="",D72=""),"",IF(D72&gt;DAY(TODAY()),"still to pay","paid ✓"))</f>
        <v/>
      </c>
      <c r="F72" s="1"/>
    </row>
    <row r="73" customFormat="false" ht="15" hidden="false" customHeight="false" outlineLevel="0" collapsed="false">
      <c r="A73" s="1"/>
      <c r="B73" s="32"/>
      <c r="C73" s="31"/>
      <c r="D73" s="32"/>
      <c r="E73" s="15" t="str">
        <f aca="true">IF(OR(C73="",D73=""),"",IF(D73&gt;DAY(TODAY()),"still to pay","paid ✓"))</f>
        <v/>
      </c>
      <c r="F73" s="1"/>
    </row>
    <row r="74" customFormat="false" ht="15" hidden="false" customHeight="false" outlineLevel="0" collapsed="false">
      <c r="A74" s="1"/>
      <c r="B74" s="32"/>
      <c r="C74" s="31"/>
      <c r="D74" s="32"/>
      <c r="E74" s="15" t="str">
        <f aca="true">IF(OR(C74="",D74=""),"",IF(D74&gt;DAY(TODAY()),"still to pay","paid ✓"))</f>
        <v/>
      </c>
      <c r="F74" s="1"/>
    </row>
    <row r="75" customFormat="false" ht="15" hidden="false" customHeight="false" outlineLevel="0" collapsed="false">
      <c r="A75" s="1"/>
      <c r="B75" s="32"/>
      <c r="C75" s="31"/>
      <c r="D75" s="32"/>
      <c r="E75" s="15" t="str">
        <f aca="true">IF(OR(C75="",D75=""),"",IF(D75&gt;DAY(TODAY()),"still to pay","paid ✓"))</f>
        <v/>
      </c>
      <c r="F75" s="1"/>
    </row>
    <row r="76" customFormat="false" ht="15" hidden="false" customHeight="false" outlineLevel="0" collapsed="false">
      <c r="A76" s="1"/>
      <c r="B76" s="32"/>
      <c r="C76" s="31"/>
      <c r="D76" s="32"/>
      <c r="E76" s="15" t="str">
        <f aca="true">IF(OR(C76="",D76=""),"",IF(D76&gt;DAY(TODAY()),"still to pay","paid ✓"))</f>
        <v/>
      </c>
      <c r="F76" s="1"/>
    </row>
    <row r="77" customFormat="false" ht="15" hidden="false" customHeight="false" outlineLevel="0" collapsed="false">
      <c r="A77" s="1"/>
      <c r="B77" s="32"/>
      <c r="C77" s="31"/>
      <c r="D77" s="32"/>
      <c r="E77" s="15" t="str">
        <f aca="true">IF(OR(C77="",D77=""),"",IF(D77&gt;DAY(TODAY()),"still to pay","paid ✓"))</f>
        <v/>
      </c>
      <c r="F77" s="1"/>
    </row>
    <row r="78" customFormat="false" ht="15" hidden="false" customHeight="false" outlineLevel="0" collapsed="false">
      <c r="A78" s="1"/>
      <c r="B78" s="32"/>
      <c r="C78" s="31"/>
      <c r="D78" s="32"/>
      <c r="E78" s="15" t="str">
        <f aca="true">IF(OR(C78="",D78=""),"",IF(D78&gt;DAY(TODAY()),"still to pay","paid ✓"))</f>
        <v/>
      </c>
      <c r="F78" s="1"/>
    </row>
    <row r="79" customFormat="false" ht="15" hidden="false" customHeight="false" outlineLevel="0" collapsed="false">
      <c r="A79" s="1"/>
      <c r="B79" s="32"/>
      <c r="C79" s="31"/>
      <c r="D79" s="32"/>
      <c r="E79" s="15" t="str">
        <f aca="true">IF(OR(C79="",D79=""),"",IF(D79&gt;DAY(TODAY()),"still to pay","paid ✓"))</f>
        <v/>
      </c>
      <c r="F79" s="1"/>
    </row>
    <row r="80" customFormat="false" ht="15" hidden="false" customHeight="false" outlineLevel="0" collapsed="false">
      <c r="A80" s="1"/>
      <c r="B80" s="32"/>
      <c r="C80" s="31"/>
      <c r="D80" s="32"/>
      <c r="E80" s="15" t="str">
        <f aca="true">IF(OR(C80="",D80=""),"",IF(D80&gt;DAY(TODAY()),"still to pay","paid ✓"))</f>
        <v/>
      </c>
      <c r="F80" s="1"/>
    </row>
    <row r="81" customFormat="false" ht="15" hidden="false" customHeight="false" outlineLevel="0" collapsed="false">
      <c r="A81" s="1"/>
      <c r="B81" s="32"/>
      <c r="C81" s="31"/>
      <c r="D81" s="32"/>
      <c r="E81" s="15" t="str">
        <f aca="true">IF(OR(C81="",D81=""),"",IF(D81&gt;DAY(TODAY()),"still to pay","paid ✓"))</f>
        <v/>
      </c>
      <c r="F81" s="1"/>
    </row>
    <row r="82" customFormat="false" ht="15" hidden="false" customHeight="false" outlineLevel="0" collapsed="false">
      <c r="A82" s="1"/>
      <c r="B82" s="32"/>
      <c r="C82" s="31"/>
      <c r="D82" s="32"/>
      <c r="E82" s="15" t="str">
        <f aca="true">IF(OR(C82="",D82=""),"",IF(D82&gt;DAY(TODAY()),"still to pay","paid ✓"))</f>
        <v/>
      </c>
      <c r="F82" s="1"/>
    </row>
    <row r="83" customFormat="false" ht="15" hidden="false" customHeight="false" outlineLevel="0" collapsed="false">
      <c r="A83" s="1"/>
      <c r="B83" s="32"/>
      <c r="C83" s="31"/>
      <c r="D83" s="32"/>
      <c r="E83" s="15" t="str">
        <f aca="true">IF(OR(C83="",D83=""),"",IF(D83&gt;DAY(TODAY()),"still to pay","paid ✓"))</f>
        <v/>
      </c>
      <c r="F83" s="1"/>
    </row>
    <row r="84" customFormat="false" ht="15" hidden="false" customHeight="false" outlineLevel="0" collapsed="false">
      <c r="A84" s="1"/>
      <c r="B84" s="32"/>
      <c r="C84" s="31"/>
      <c r="D84" s="32"/>
      <c r="E84" s="15" t="str">
        <f aca="true">IF(OR(C84="",D84=""),"",IF(D84&gt;DAY(TODAY()),"still to pay","paid ✓"))</f>
        <v/>
      </c>
      <c r="F84" s="1"/>
    </row>
    <row r="85" customFormat="false" ht="15" hidden="false" customHeight="false" outlineLevel="0" collapsed="false">
      <c r="A85" s="1"/>
      <c r="B85" s="32"/>
      <c r="C85" s="31"/>
      <c r="D85" s="32"/>
      <c r="E85" s="15" t="str">
        <f aca="true">IF(OR(C85="",D85=""),"",IF(D85&gt;DAY(TODAY()),"still to pay","paid ✓"))</f>
        <v/>
      </c>
      <c r="F85" s="1"/>
    </row>
    <row r="86" customFormat="false" ht="15" hidden="false" customHeight="false" outlineLevel="0" collapsed="false">
      <c r="A86" s="1"/>
      <c r="B86" s="32"/>
      <c r="C86" s="31"/>
      <c r="D86" s="32"/>
      <c r="E86" s="15" t="str">
        <f aca="true">IF(OR(C86="",D86=""),"",IF(D86&gt;DAY(TODAY()),"still to pay","paid ✓"))</f>
        <v/>
      </c>
      <c r="F86" s="1"/>
    </row>
    <row r="87" customFormat="false" ht="15" hidden="false" customHeight="false" outlineLevel="0" collapsed="false">
      <c r="A87" s="1"/>
      <c r="B87" s="32"/>
      <c r="C87" s="31"/>
      <c r="D87" s="32"/>
      <c r="E87" s="15" t="str">
        <f aca="true">IF(OR(C87="",D87=""),"",IF(D87&gt;DAY(TODAY()),"still to pay","paid ✓"))</f>
        <v/>
      </c>
      <c r="F87" s="1"/>
    </row>
    <row r="88" customFormat="false" ht="15" hidden="false" customHeight="false" outlineLevel="0" collapsed="false">
      <c r="A88" s="1"/>
      <c r="B88" s="32"/>
      <c r="C88" s="31"/>
      <c r="D88" s="32"/>
      <c r="E88" s="15" t="str">
        <f aca="true">IF(OR(C88="",D88=""),"",IF(D88&gt;DAY(TODAY()),"still to pay","paid ✓"))</f>
        <v/>
      </c>
      <c r="F88" s="1"/>
    </row>
    <row r="89" customFormat="false" ht="15" hidden="false" customHeight="false" outlineLevel="0" collapsed="false">
      <c r="A89" s="1"/>
      <c r="B89" s="32"/>
      <c r="C89" s="31"/>
      <c r="D89" s="32"/>
      <c r="E89" s="15" t="str">
        <f aca="true">IF(OR(C89="",D89=""),"",IF(D89&gt;DAY(TODAY()),"still to pay","paid ✓"))</f>
        <v/>
      </c>
      <c r="F89" s="1"/>
    </row>
    <row r="90" customFormat="false" ht="15" hidden="false" customHeight="false" outlineLevel="0" collapsed="false">
      <c r="A90" s="1"/>
      <c r="B90" s="32"/>
      <c r="C90" s="31"/>
      <c r="D90" s="32"/>
      <c r="E90" s="15" t="str">
        <f aca="true">IF(OR(C90="",D90=""),"",IF(D90&gt;DAY(TODAY()),"still to pay","paid ✓"))</f>
        <v/>
      </c>
      <c r="F90" s="1"/>
    </row>
    <row r="91" customFormat="false" ht="15" hidden="false" customHeight="false" outlineLevel="0" collapsed="false">
      <c r="A91" s="1"/>
      <c r="B91" s="32"/>
      <c r="C91" s="31"/>
      <c r="D91" s="32"/>
      <c r="E91" s="15" t="str">
        <f aca="true">IF(OR(C91="",D91=""),"",IF(D91&gt;DAY(TODAY()),"still to pay","paid ✓"))</f>
        <v/>
      </c>
      <c r="F91" s="1"/>
    </row>
    <row r="92" customFormat="false" ht="15" hidden="false" customHeight="false" outlineLevel="0" collapsed="false">
      <c r="A92" s="1"/>
      <c r="B92" s="32"/>
      <c r="C92" s="31"/>
      <c r="D92" s="32"/>
      <c r="E92" s="15" t="str">
        <f aca="true">IF(OR(C92="",D92=""),"",IF(D92&gt;DAY(TODAY()),"still to pay","paid ✓"))</f>
        <v/>
      </c>
      <c r="F92" s="1"/>
    </row>
    <row r="93" customFormat="false" ht="15" hidden="false" customHeight="false" outlineLevel="0" collapsed="false">
      <c r="A93" s="1"/>
      <c r="B93" s="32"/>
      <c r="C93" s="31"/>
      <c r="D93" s="32"/>
      <c r="E93" s="15" t="str">
        <f aca="true">IF(OR(C93="",D93=""),"",IF(D93&gt;DAY(TODAY()),"still to pay","paid ✓"))</f>
        <v/>
      </c>
      <c r="F93" s="1"/>
    </row>
    <row r="94" customFormat="false" ht="15" hidden="false" customHeight="false" outlineLevel="0" collapsed="false">
      <c r="A94" s="1"/>
      <c r="B94" s="32"/>
      <c r="C94" s="31"/>
      <c r="D94" s="32"/>
      <c r="E94" s="15" t="str">
        <f aca="true">IF(OR(C94="",D94=""),"",IF(D94&gt;DAY(TODAY()),"still to pay","paid ✓"))</f>
        <v/>
      </c>
      <c r="F94" s="1"/>
    </row>
    <row r="95" customFormat="false" ht="15" hidden="false" customHeight="false" outlineLevel="0" collapsed="false">
      <c r="A95" s="1"/>
      <c r="B95" s="32"/>
      <c r="C95" s="31"/>
      <c r="D95" s="32"/>
      <c r="E95" s="15" t="str">
        <f aca="true">IF(OR(C95="",D95=""),"",IF(D95&gt;DAY(TODAY()),"still to pay","paid ✓"))</f>
        <v/>
      </c>
      <c r="F95" s="1"/>
    </row>
    <row r="96" customFormat="false" ht="15" hidden="false" customHeight="false" outlineLevel="0" collapsed="false">
      <c r="A96" s="1"/>
      <c r="B96" s="32"/>
      <c r="C96" s="31"/>
      <c r="D96" s="32"/>
      <c r="E96" s="15" t="str">
        <f aca="true">IF(OR(C96="",D96=""),"",IF(D96&gt;DAY(TODAY()),"still to pay","paid ✓"))</f>
        <v/>
      </c>
      <c r="F96" s="1"/>
    </row>
    <row r="97" customFormat="false" ht="15" hidden="false" customHeight="false" outlineLevel="0" collapsed="false">
      <c r="A97" s="1"/>
      <c r="B97" s="32"/>
      <c r="C97" s="31"/>
      <c r="D97" s="32"/>
      <c r="E97" s="15" t="str">
        <f aca="true">IF(OR(C97="",D97=""),"",IF(D97&gt;DAY(TODAY()),"still to pay","paid ✓"))</f>
        <v/>
      </c>
      <c r="F97" s="1"/>
    </row>
    <row r="98" customFormat="false" ht="15" hidden="false" customHeight="false" outlineLevel="0" collapsed="false">
      <c r="A98" s="1"/>
      <c r="B98" s="32"/>
      <c r="C98" s="31"/>
      <c r="D98" s="32"/>
      <c r="E98" s="15" t="str">
        <f aca="true">IF(OR(C98="",D98=""),"",IF(D98&gt;DAY(TODAY()),"still to pay","paid ✓"))</f>
        <v/>
      </c>
      <c r="F98" s="1"/>
    </row>
    <row r="99" customFormat="false" ht="15" hidden="false" customHeight="false" outlineLevel="0" collapsed="false">
      <c r="A99" s="1"/>
      <c r="B99" s="32"/>
      <c r="C99" s="31"/>
      <c r="D99" s="32"/>
      <c r="E99" s="15" t="str">
        <f aca="true">IF(OR(C99="",D99=""),"",IF(D99&gt;DAY(TODAY()),"still to pay","paid ✓"))</f>
        <v/>
      </c>
      <c r="F99" s="1"/>
    </row>
    <row r="100" customFormat="false" ht="15" hidden="false" customHeight="false" outlineLevel="0" collapsed="false">
      <c r="A100" s="1"/>
      <c r="B100" s="32"/>
      <c r="C100" s="31"/>
      <c r="D100" s="32"/>
      <c r="E100" s="15" t="str">
        <f aca="true">IF(OR(C100="",D100=""),"",IF(D100&gt;DAY(TODAY()),"still to pay","paid ✓"))</f>
        <v/>
      </c>
      <c r="F100" s="1"/>
    </row>
    <row r="101" customFormat="false" ht="15" hidden="false" customHeight="false" outlineLevel="0" collapsed="false">
      <c r="A101" s="1"/>
      <c r="B101" s="32"/>
      <c r="C101" s="31"/>
      <c r="D101" s="32"/>
      <c r="E101" s="15" t="str">
        <f aca="true">IF(OR(C101="",D101=""),"",IF(D101&gt;DAY(TODAY()),"still to pay","paid ✓"))</f>
        <v/>
      </c>
      <c r="F101" s="1"/>
    </row>
    <row r="102" customFormat="false" ht="15" hidden="false" customHeight="false" outlineLevel="0" collapsed="false">
      <c r="A102" s="1"/>
      <c r="B102" s="32"/>
      <c r="C102" s="31"/>
      <c r="D102" s="32"/>
      <c r="E102" s="15" t="str">
        <f aca="true">IF(OR(C102="",D102=""),"",IF(D102&gt;DAY(TODAY()),"still to pay","paid ✓"))</f>
        <v/>
      </c>
      <c r="F102" s="1"/>
    </row>
    <row r="103" customFormat="false" ht="15" hidden="false" customHeight="false" outlineLevel="0" collapsed="false">
      <c r="A103" s="1"/>
      <c r="B103" s="32"/>
      <c r="C103" s="31"/>
      <c r="D103" s="32"/>
      <c r="E103" s="15" t="str">
        <f aca="true">IF(OR(C103="",D103=""),"",IF(D103&gt;DAY(TODAY()),"still to pay","paid ✓"))</f>
        <v/>
      </c>
      <c r="F103" s="1"/>
    </row>
    <row r="104" customFormat="false" ht="15" hidden="false" customHeight="false" outlineLevel="0" collapsed="false">
      <c r="A104" s="1"/>
      <c r="B104" s="32"/>
      <c r="C104" s="31"/>
      <c r="D104" s="32"/>
      <c r="E104" s="15" t="str">
        <f aca="true">IF(OR(C104="",D104=""),"",IF(D104&gt;DAY(TODAY()),"still to pay","paid ✓"))</f>
        <v/>
      </c>
      <c r="F104" s="1"/>
    </row>
    <row r="105" customFormat="false" ht="15" hidden="false" customHeight="false" outlineLevel="0" collapsed="false">
      <c r="A105" s="1"/>
      <c r="B105" s="32"/>
      <c r="C105" s="31"/>
      <c r="D105" s="32"/>
      <c r="E105" s="15" t="str">
        <f aca="true">IF(OR(C105="",D105=""),"",IF(D105&gt;DAY(TODAY()),"still to pay","paid ✓"))</f>
        <v/>
      </c>
      <c r="F105" s="1"/>
    </row>
    <row r="106" customFormat="false" ht="15" hidden="false" customHeight="false" outlineLevel="0" collapsed="false">
      <c r="A106" s="1"/>
      <c r="B106" s="32"/>
      <c r="C106" s="31"/>
      <c r="D106" s="32"/>
      <c r="E106" s="15" t="str">
        <f aca="true">IF(OR(C106="",D106=""),"",IF(D106&gt;DAY(TODAY()),"still to pay","paid ✓"))</f>
        <v/>
      </c>
      <c r="F106" s="1"/>
    </row>
    <row r="107" customFormat="false" ht="15" hidden="false" customHeight="false" outlineLevel="0" collapsed="false">
      <c r="A107" s="1"/>
      <c r="B107" s="32"/>
      <c r="C107" s="31"/>
      <c r="D107" s="32"/>
      <c r="E107" s="15" t="str">
        <f aca="true">IF(OR(C107="",D107=""),"",IF(D107&gt;DAY(TODAY()),"still to pay","paid ✓"))</f>
        <v/>
      </c>
      <c r="F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</row>
  </sheetData>
  <dataValidations count="1">
    <dataValidation allowBlank="true" error="Pick a day from 1 to 31." errorStyle="stop" operator="between" showDropDown="false" showErrorMessage="true" showInputMessage="false" sqref="D8:D107" type="whole">
      <formula1>1</formula1>
      <formula2>31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2026-10-29T08:15:43Z</dcterms:created>
  <dc:creator>openpyxl</dc:creator>
  <dc:description/>
  <dc:language>en-US</dc:language>
  <cp:lastModifiedBy/>
  <dcterms:modified xsi:type="dcterms:W3CDTF">2026-10-29T08:15:43Z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