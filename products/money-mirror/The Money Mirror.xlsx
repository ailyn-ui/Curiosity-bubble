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Money minute" sheetId="3" state="visible" r:id="rId5"/>
    <sheet name="Owed to you" sheetId="4" state="visible" r:id="rId6"/>
    <sheet name="Client extras" sheetId="5" state="visible" r:id="rId7"/>
    <sheet name="Fixed costs" sheetId="6" state="visible" r:id="rId8"/>
  </sheets>
  <definedNames>
    <definedName function="false" hidden="false" name="Cushion" vbProcedure="false">'Start here'!$D$16</definedName>
    <definedName function="false" hidden="false" name="StartBalance" vbProcedure="false">'Start here'!$D$9</definedName>
    <definedName function="false" hidden="false" name="TaxRate" vbProcedure="false">'Start here'!$D$15</definedName>
    <definedName function="false" hidden="false" name="YourName" vbProcedure="false">'Start here'!$D$7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5" authorId="0">
      <text>
        <r>
          <rPr>
            <sz val="10"/>
            <rFont val="Arial"/>
            <family val="2"/>
          </rPr>
          <t xml:space="preserve">Ask your accountant what's right for you. Many freelancers set aside 25–35%.</t>
        </r>
      </text>
    </comment>
  </commentList>
</comments>
</file>

<file path=xl/sharedStrings.xml><?xml version="1.0" encoding="utf-8"?>
<sst xmlns="http://schemas.openxmlformats.org/spreadsheetml/2006/main" count="113" uniqueCount="105">
  <si>
    <t xml:space="preserve">The Money Mirror</t>
  </si>
  <si>
    <t xml:space="preserve">A tool for clarity. About 10 minutes, once. Then one minute a week.</t>
  </si>
  <si>
    <t xml:space="preserve">Pink boxes are yours to fill. Everything else updates itself.</t>
  </si>
  <si>
    <t xml:space="preserve">Before you start: File → Settings → Locale → your country. Then dates work the way you write them.</t>
  </si>
  <si>
    <t xml:space="preserve">1</t>
  </si>
  <si>
    <t xml:space="preserve">What's your first name?</t>
  </si>
  <si>
    <t xml:space="preserve">2</t>
  </si>
  <si>
    <t xml:space="preserve">What's in your business account today?</t>
  </si>
  <si>
    <t xml:space="preserve">Tip: this is just your starting point. Your money minute keeps it fresh.</t>
  </si>
  <si>
    <t xml:space="preserve">3</t>
  </si>
  <si>
    <t xml:space="preserve">Add your fixed costs, monthly or yearly  →  'Fixed costs' tab</t>
  </si>
  <si>
    <t xml:space="preserve">Rent on the 1st every month? Insurance on 26 July every year? Both go here.</t>
  </si>
  <si>
    <t xml:space="preserve">4</t>
  </si>
  <si>
    <t xml:space="preserve">Add anything people owe you  →  'Owed to you' tab</t>
  </si>
  <si>
    <t xml:space="preserve">Nobody owes me right now? Pick Yes →</t>
  </si>
  <si>
    <t xml:space="preserve">5</t>
  </si>
  <si>
    <t xml:space="preserve">Tax: what % of income do you set aside?</t>
  </si>
  <si>
    <t xml:space="preserve">Comfort cushion: an amount you never want to dip below</t>
  </si>
  <si>
    <t xml:space="preserve">If you already move tax to a separate account, put 0% above.</t>
  </si>
  <si>
    <t xml:space="preserve">Then, once a week: your money minute. Two numbers, about 60 seconds.</t>
  </si>
  <si>
    <t xml:space="preserve">Paid for a client coffee, parking or materials? Pop it in 'Client extras' when you can.</t>
  </si>
  <si>
    <t xml:space="preserve">The Money Mirror helps you see your numbers. It isn't tax, legal or financial advice. For that, talk to an accountant or financial adviser.</t>
  </si>
  <si>
    <t xml:space="preserve">SAFE TO SPEND THIS MONTH</t>
  </si>
  <si>
    <t xml:space="preserve">Balance today</t>
  </si>
  <si>
    <t xml:space="preserve">Money in this month</t>
  </si>
  <si>
    <t xml:space="preserve">Fixed costs still to pay</t>
  </si>
  <si>
    <t xml:space="preserve">Set aside for tax</t>
  </si>
  <si>
    <t xml:space="preserve">OWED TO YOU</t>
  </si>
  <si>
    <t xml:space="preserve">COMING UP: YEARLY COSTS</t>
  </si>
  <si>
    <t xml:space="preserve">CLIENT EXTRAS THIS MONTH</t>
  </si>
  <si>
    <t xml:space="preserve">YOUR MONEY MINUTE</t>
  </si>
  <si>
    <t xml:space="preserve">Safe to spend = balance today − fixed costs still to pay this month (monthly, plus any yearly ones due this month) − tax to set aside − your comfort cushion.</t>
  </si>
  <si>
    <t xml:space="preserve">It's a guide to help you see clearly, not financial advice.</t>
  </si>
  <si>
    <t xml:space="preserve">Behind the scenes (no need to touch)</t>
  </si>
  <si>
    <t xml:space="preserve">Balance</t>
  </si>
  <si>
    <t xml:space="preserve">Monthly still to pay</t>
  </si>
  <si>
    <t xml:space="preserve">Yearly still to pay this month</t>
  </si>
  <si>
    <t xml:space="preserve">Fixed still to pay</t>
  </si>
  <si>
    <t xml:space="preserve">Tax to set aside</t>
  </si>
  <si>
    <t xml:space="preserve">Owed to you</t>
  </si>
  <si>
    <t xml:space="preserve">Invoices waiting</t>
  </si>
  <si>
    <t xml:space="preserve">Overdue</t>
  </si>
  <si>
    <t xml:space="preserve">Safe to spend</t>
  </si>
  <si>
    <t xml:space="preserve">Days since money minute</t>
  </si>
  <si>
    <t xml:space="preserve">Money minutes this month</t>
  </si>
  <si>
    <t xml:space="preserve">Cushion</t>
  </si>
  <si>
    <t xml:space="preserve">Next yearly date</t>
  </si>
  <si>
    <t xml:space="preserve">Next yearly row</t>
  </si>
  <si>
    <t xml:space="preserve">Next yearly what</t>
  </si>
  <si>
    <t xml:space="preserve">Next yearly amount</t>
  </si>
  <si>
    <t xml:space="preserve">Yearly costs total</t>
  </si>
  <si>
    <t xml:space="preserve">Client extras this month</t>
  </si>
  <si>
    <t xml:space="preserve">Client extras count this month</t>
  </si>
  <si>
    <t xml:space="preserve">Extras: Meetings &amp; hospitality</t>
  </si>
  <si>
    <t xml:space="preserve">Extras: Travel &amp; parking</t>
  </si>
  <si>
    <t xml:space="preserve">Extras: Materials &amp; assets for clients</t>
  </si>
  <si>
    <t xml:space="preserve">Extras: Software &amp; licences</t>
  </si>
  <si>
    <t xml:space="preserve">Extras: Other</t>
  </si>
  <si>
    <t xml:space="preserve">Biggest extras type</t>
  </si>
  <si>
    <t xml:space="preserve">Your money minute</t>
  </si>
  <si>
    <t xml:space="preserve">Once a week. Open your bank app, type today's date and balance. Done.</t>
  </si>
  <si>
    <t xml:space="preserve">Dates: type them the way you normally do, or double-click a date box for a calendar.</t>
  </si>
  <si>
    <t xml:space="preserve">Date</t>
  </si>
  <si>
    <t xml:space="preserve">Other money in*</t>
  </si>
  <si>
    <t xml:space="preserve">A note to yourself (optional)</t>
  </si>
  <si>
    <t xml:space="preserve">e.g. 3 Nov 2026</t>
  </si>
  <si>
    <t xml:space="preserve">4,250</t>
  </si>
  <si>
    <t xml:space="preserve">0</t>
  </si>
  <si>
    <t xml:space="preserve">Felt okay. Chased Studio Luna.</t>
  </si>
  <si>
    <t xml:space="preserve">* Money that came in this week that isn't one of your invoices (a sale, a refund, a one-off job).</t>
  </si>
  <si>
    <t xml:space="preserve">Every invoice you've sent. When one gets paid, just type the date. That's it.</t>
  </si>
  <si>
    <t xml:space="preserve">Client</t>
  </si>
  <si>
    <t xml:space="preserve">Amount</t>
  </si>
  <si>
    <t xml:space="preserve">Due date</t>
  </si>
  <si>
    <t xml:space="preserve">Paid on</t>
  </si>
  <si>
    <t xml:space="preserve">Status</t>
  </si>
  <si>
    <t xml:space="preserve">e.g. Studio Luna</t>
  </si>
  <si>
    <t xml:space="preserve">1,200</t>
  </si>
  <si>
    <t xml:space="preserve">15 Nov 2026</t>
  </si>
  <si>
    <t xml:space="preserve">(leave empty until paid)</t>
  </si>
  <si>
    <t xml:space="preserve">Client extras</t>
  </si>
  <si>
    <t xml:space="preserve">Costs that are included in your fee, not billed separately: the coffee, the parking, the fonts you buy for them.</t>
  </si>
  <si>
    <t xml:space="preserve">Add them when they happen, or catch up during your money minute. Dates: type them the way you normally do, or double-click a date box for a calendar.</t>
  </si>
  <si>
    <t xml:space="preserve">What it was</t>
  </si>
  <si>
    <t xml:space="preserve">Type</t>
  </si>
  <si>
    <t xml:space="preserve">e.g. 4 Nov 2026</t>
  </si>
  <si>
    <t xml:space="preserve">Coffee at kick-off meeting</t>
  </si>
  <si>
    <t xml:space="preserve">Studio Luna</t>
  </si>
  <si>
    <t xml:space="preserve">Meetings &amp; hospitality</t>
  </si>
  <si>
    <t xml:space="preserve">18</t>
  </si>
  <si>
    <t xml:space="preserve">These are already out of your bank balance, so they're not taken off 'safe to spend' twice. They're here so you can see where money goes.</t>
  </si>
  <si>
    <t xml:space="preserve">Fixed costs</t>
  </si>
  <si>
    <t xml:space="preserve">What leaves no matter what, every month or once a year. Add them once; you rarely touch this again.</t>
  </si>
  <si>
    <t xml:space="preserve">What it is</t>
  </si>
  <si>
    <t xml:space="preserve">Amount each time</t>
  </si>
  <si>
    <t xml:space="preserve">How often</t>
  </si>
  <si>
    <t xml:space="preserve">Day it leaves (1–31)</t>
  </si>
  <si>
    <t xml:space="preserve">Month (yearly costs only)</t>
  </si>
  <si>
    <t xml:space="preserve">This month</t>
  </si>
  <si>
    <t xml:space="preserve">Next time</t>
  </si>
  <si>
    <t xml:space="preserve">e.g. Insurance</t>
  </si>
  <si>
    <t xml:space="preserve">Yearly</t>
  </si>
  <si>
    <t xml:space="preserve">26</t>
  </si>
  <si>
    <t xml:space="preserve">Jul</t>
  </si>
  <si>
    <t xml:space="preserve">If 'How often' is empty, it counts as monthly.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</si>
</sst>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-#,##0;0"/>
    <numFmt numFmtId="166" formatCode="0%"/>
    <numFmt numFmtId="167" formatCode="0%&quot; set up&quot;"/>
    <numFmt numFmtId="168" formatCode="d\ mmm\ yyyy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0B0B0B"/>
      <name val="Playfair Display"/>
      <family val="0"/>
      <charset val="1"/>
    </font>
    <font>
      <i val="true"/>
      <sz val="11"/>
      <color rgb="FF8A8A8A"/>
      <name val="Arial"/>
      <family val="0"/>
      <charset val="1"/>
    </font>
    <font>
      <b val="true"/>
      <sz val="10"/>
      <color rgb="FFE6005C"/>
      <name val="Arial"/>
      <family val="0"/>
      <charset val="1"/>
    </font>
    <font>
      <b val="true"/>
      <sz val="10"/>
      <color rgb="FF0B0B0B"/>
      <name val="Arial"/>
      <family val="0"/>
      <charset val="1"/>
    </font>
    <font>
      <b val="true"/>
      <sz val="16"/>
      <color rgb="FFE6005C"/>
      <name val="Playfair Display"/>
      <family val="0"/>
      <charset val="1"/>
    </font>
    <font>
      <b val="true"/>
      <sz val="11"/>
      <color rgb="FF0B0B0B"/>
      <name val="Arial"/>
      <family val="0"/>
      <charset val="1"/>
    </font>
    <font>
      <b val="true"/>
      <sz val="12"/>
      <color rgb="FF0B0B0B"/>
      <name val="Arial"/>
      <family val="0"/>
      <charset val="1"/>
    </font>
    <font>
      <b val="true"/>
      <sz val="11"/>
      <color rgb="FF1F9D55"/>
      <name val="Arial"/>
      <family val="0"/>
      <charset val="1"/>
    </font>
    <font>
      <i val="true"/>
      <sz val="9"/>
      <color rgb="FF8A8A8A"/>
      <name val="Arial"/>
      <family val="0"/>
      <charset val="1"/>
    </font>
    <font>
      <b val="true"/>
      <sz val="14"/>
      <color rgb="FFE6005C"/>
      <name val="Playfair Display"/>
      <family val="0"/>
      <charset val="1"/>
    </font>
    <font>
      <b val="true"/>
      <sz val="13"/>
      <color rgb="FF0B0B0B"/>
      <name val="Playfair Display"/>
      <family val="0"/>
      <charset val="1"/>
    </font>
    <font>
      <sz val="10"/>
      <color rgb="FF8A8A8A"/>
      <name val="Arial"/>
      <family val="0"/>
      <charset val="1"/>
    </font>
    <font>
      <i val="true"/>
      <sz val="8"/>
      <color rgb="FF8A8A8A"/>
      <name val="Arial"/>
      <family val="0"/>
      <charset val="1"/>
    </font>
    <font>
      <sz val="10"/>
      <name val="Arial"/>
      <family val="2"/>
    </font>
    <font>
      <b val="true"/>
      <sz val="22"/>
      <color rgb="FF0B0B0B"/>
      <name val="Playfair Display"/>
      <family val="0"/>
      <charset val="1"/>
    </font>
    <font>
      <i val="true"/>
      <sz val="10"/>
      <color rgb="FF8A8A8A"/>
      <name val="Arial"/>
      <family val="0"/>
      <charset val="1"/>
    </font>
    <font>
      <b val="true"/>
      <sz val="11"/>
      <color rgb="FFE6005C"/>
      <name val="Arial"/>
      <family val="0"/>
      <charset val="1"/>
    </font>
    <font>
      <b val="true"/>
      <sz val="60"/>
      <color rgb="FF0B0B0B"/>
      <name val="Playfair Display"/>
      <family val="0"/>
      <charset val="1"/>
    </font>
    <font>
      <b val="true"/>
      <sz val="9"/>
      <color rgb="FF8A8A8A"/>
      <name val="Arial"/>
      <family val="0"/>
      <charset val="1"/>
    </font>
    <font>
      <b val="true"/>
      <sz val="20"/>
      <color rgb="FF0B0B0B"/>
      <name val="Playfair Display"/>
      <family val="0"/>
      <charset val="1"/>
    </font>
    <font>
      <sz val="11"/>
      <color rgb="FF0B0B0B"/>
      <name val="Arial"/>
      <family val="0"/>
      <charset val="1"/>
    </font>
    <font>
      <sz val="9"/>
      <color rgb="FF8A8A8A"/>
      <name val="Arial"/>
      <family val="0"/>
      <charset val="1"/>
    </font>
    <font>
      <b val="true"/>
      <sz val="10"/>
      <color rgb="FF8A8A8A"/>
      <name val="Arial"/>
      <family val="0"/>
      <charset val="1"/>
    </font>
    <font>
      <sz val="8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CE4EE"/>
      </patternFill>
    </fill>
    <fill>
      <patternFill patternType="solid">
        <fgColor rgb="FFFCE4EE"/>
        <bgColor rgb="FFDDDDD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ck">
        <color rgb="FFE6005C"/>
      </left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24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24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4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15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C62828"/>
      </font>
    </dxf>
    <dxf>
      <font>
        <b val="1"/>
        <color rgb="FFE08A00"/>
      </font>
    </dxf>
    <dxf>
      <font>
        <b val="1"/>
        <color rgb="FF1F9D55"/>
      </font>
    </dxf>
    <dxf>
      <font>
        <b val="1"/>
        <color rgb="FFE6005C"/>
      </font>
    </dxf>
  </dxfs>
  <colors>
    <indexedColors>
      <rgbColor rgb="FF000000"/>
      <rgbColor rgb="FFFFFFFF"/>
      <rgbColor rgb="FFE6005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A8A8A"/>
      <rgbColor rgb="FF9999FF"/>
      <rgbColor rgb="FF993366"/>
      <rgbColor rgb="FFFCE4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8A00"/>
      <rgbColor rgb="FFFF6600"/>
      <rgbColor rgb="FF666699"/>
      <rgbColor rgb="FF969696"/>
      <rgbColor rgb="FF003366"/>
      <rgbColor rgb="FF1F9D55"/>
      <rgbColor rgb="FF0B0B0B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005C"/>
    <pageSetUpPr fitToPage="false"/>
  </sheetPr>
  <dimension ref="A1:F10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58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39.75" hidden="false" customHeight="true" outlineLevel="0" collapsed="false">
      <c r="A2" s="1"/>
      <c r="B2" s="2" t="s">
        <v>0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</row>
    <row r="4" customFormat="false" ht="15" hidden="false" customHeight="false" outlineLevel="0" collapsed="false">
      <c r="A4" s="1"/>
      <c r="B4" s="4" t="s">
        <v>2</v>
      </c>
      <c r="C4" s="1"/>
      <c r="D4" s="1"/>
      <c r="E4" s="1"/>
      <c r="F4" s="1"/>
    </row>
    <row r="5" customFormat="false" ht="15" hidden="false" customHeight="false" outlineLevel="0" collapsed="false">
      <c r="A5" s="1"/>
      <c r="B5" s="5" t="s">
        <v>3</v>
      </c>
      <c r="C5" s="1"/>
      <c r="D5" s="1"/>
      <c r="E5" s="1"/>
      <c r="F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</row>
    <row r="7" customFormat="false" ht="24" hidden="false" customHeight="true" outlineLevel="0" collapsed="false">
      <c r="A7" s="1"/>
      <c r="B7" s="6" t="s">
        <v>4</v>
      </c>
      <c r="C7" s="7" t="s">
        <v>5</v>
      </c>
      <c r="D7" s="8"/>
      <c r="E7" s="9" t="str">
        <f aca="false">IF(D7&lt;&gt;"","✓ done","")</f>
        <v/>
      </c>
      <c r="F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</row>
    <row r="9" customFormat="false" ht="24" hidden="false" customHeight="true" outlineLevel="0" collapsed="false">
      <c r="A9" s="1"/>
      <c r="B9" s="6" t="s">
        <v>6</v>
      </c>
      <c r="C9" s="7" t="s">
        <v>7</v>
      </c>
      <c r="D9" s="10"/>
      <c r="E9" s="9" t="str">
        <f aca="false">IF(D9&lt;&gt;"","✓ done","")</f>
        <v/>
      </c>
      <c r="F9" s="1"/>
    </row>
    <row r="10" customFormat="false" ht="15" hidden="false" customHeight="false" outlineLevel="0" collapsed="false">
      <c r="A10" s="1"/>
      <c r="B10" s="1"/>
      <c r="C10" s="11" t="s">
        <v>8</v>
      </c>
      <c r="D10" s="1"/>
      <c r="E10" s="1"/>
      <c r="F10" s="1"/>
    </row>
    <row r="11" customFormat="false" ht="24" hidden="false" customHeight="true" outlineLevel="0" collapsed="false">
      <c r="A11" s="1"/>
      <c r="B11" s="6" t="s">
        <v>9</v>
      </c>
      <c r="C11" s="7" t="s">
        <v>10</v>
      </c>
      <c r="D11" s="1"/>
      <c r="E11" s="9" t="str">
        <f aca="false">IF(COUNT('Fixed costs'!C8:C107)&gt;0,"✓ done","")</f>
        <v/>
      </c>
      <c r="F11" s="1"/>
    </row>
    <row r="12" customFormat="false" ht="15" hidden="false" customHeight="false" outlineLevel="0" collapsed="false">
      <c r="A12" s="1"/>
      <c r="B12" s="1"/>
      <c r="C12" s="11" t="s">
        <v>11</v>
      </c>
      <c r="D12" s="1"/>
      <c r="E12" s="1"/>
      <c r="F12" s="1"/>
    </row>
    <row r="13" customFormat="false" ht="24" hidden="false" customHeight="true" outlineLevel="0" collapsed="false">
      <c r="A13" s="1"/>
      <c r="B13" s="6" t="s">
        <v>12</v>
      </c>
      <c r="C13" s="7" t="s">
        <v>13</v>
      </c>
      <c r="D13" s="1"/>
      <c r="E13" s="9" t="str">
        <f aca="false">IF(OR(COUNT('Owed to you'!C8:C107)&gt;0,D14="Yes"),"✓ done","")</f>
        <v/>
      </c>
      <c r="F13" s="1"/>
    </row>
    <row r="14" customFormat="false" ht="15" hidden="false" customHeight="false" outlineLevel="0" collapsed="false">
      <c r="A14" s="1"/>
      <c r="B14" s="1"/>
      <c r="C14" s="11" t="s">
        <v>14</v>
      </c>
      <c r="D14" s="12"/>
      <c r="E14" s="1"/>
      <c r="F14" s="1"/>
    </row>
    <row r="15" customFormat="false" ht="24" hidden="false" customHeight="true" outlineLevel="0" collapsed="false">
      <c r="A15" s="1"/>
      <c r="B15" s="6" t="s">
        <v>15</v>
      </c>
      <c r="C15" s="7" t="s">
        <v>16</v>
      </c>
      <c r="D15" s="13"/>
      <c r="E15" s="9" t="str">
        <f aca="false">IF(D15&lt;&gt;"","✓ done","")</f>
        <v/>
      </c>
      <c r="F15" s="1"/>
    </row>
    <row r="16" customFormat="false" ht="24" hidden="false" customHeight="true" outlineLevel="0" collapsed="false">
      <c r="A16" s="1"/>
      <c r="B16" s="6"/>
      <c r="C16" s="7" t="s">
        <v>17</v>
      </c>
      <c r="D16" s="10"/>
      <c r="E16" s="1"/>
      <c r="F16" s="1"/>
    </row>
    <row r="17" customFormat="false" ht="15" hidden="false" customHeight="false" outlineLevel="0" collapsed="false">
      <c r="A17" s="1"/>
      <c r="B17" s="1"/>
      <c r="C17" s="11" t="s">
        <v>18</v>
      </c>
      <c r="D17" s="1"/>
      <c r="E17" s="1"/>
      <c r="F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</row>
    <row r="20" customFormat="false" ht="17.35" hidden="false" customHeight="false" outlineLevel="0" collapsed="false">
      <c r="A20" s="1"/>
      <c r="B20" s="1"/>
      <c r="C20" s="14" t="n">
        <f aca="false">COUNTIF(E7:E15,"✓ done")/5</f>
        <v>0</v>
      </c>
      <c r="D20" s="1"/>
      <c r="E20" s="1"/>
      <c r="F20" s="1"/>
    </row>
    <row r="21" customFormat="false" ht="16.15" hidden="false" customHeight="false" outlineLevel="0" collapsed="false">
      <c r="A21" s="1"/>
      <c r="B21" s="1"/>
      <c r="C21" s="15" t="str">
        <f aca="false">IF(C20=1,"You did it. You know your numbers. Head to your Dashboard ✨","Step "&amp;(COUNTIF(E7:E15,"✓ done")+1)&amp;" of 5. You're doing great.")</f>
        <v>Step 1 of 5. You're doing great.</v>
      </c>
      <c r="D21" s="1"/>
      <c r="E21" s="1"/>
      <c r="F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</row>
    <row r="23" customFormat="false" ht="15" hidden="false" customHeight="false" outlineLevel="0" collapsed="false">
      <c r="A23" s="1"/>
      <c r="B23" s="1"/>
      <c r="C23" s="16" t="s">
        <v>19</v>
      </c>
      <c r="D23" s="1"/>
      <c r="E23" s="1"/>
      <c r="F23" s="1"/>
    </row>
    <row r="24" customFormat="false" ht="15" hidden="false" customHeight="false" outlineLevel="0" collapsed="false">
      <c r="A24" s="1"/>
      <c r="B24" s="1"/>
      <c r="C24" s="16" t="s">
        <v>20</v>
      </c>
      <c r="D24" s="1"/>
      <c r="E24" s="1"/>
      <c r="F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</row>
    <row r="26" customFormat="false" ht="15" hidden="false" customHeight="true" outlineLevel="0" collapsed="false">
      <c r="A26" s="1"/>
      <c r="B26" s="1"/>
      <c r="C26" s="17" t="s">
        <v>21</v>
      </c>
      <c r="D26" s="17"/>
      <c r="E26" s="17"/>
      <c r="F26" s="1"/>
    </row>
    <row r="27" customFormat="false" ht="15" hidden="false" customHeight="false" outlineLevel="0" collapsed="false">
      <c r="A27" s="1"/>
      <c r="B27" s="1"/>
      <c r="C27" s="17"/>
      <c r="D27" s="17"/>
      <c r="E27" s="17"/>
      <c r="F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</row>
  </sheetData>
  <mergeCells count="1">
    <mergeCell ref="C26:E27"/>
  </mergeCells>
  <dataValidations count="2">
    <dataValidation allowBlank="true" errorStyle="stop" operator="between" showDropDown="false" showErrorMessage="false" showInputMessage="false" sqref="D14" type="list">
      <formula1>"Yes"</formula1>
      <formula2>0</formula2>
    </dataValidation>
    <dataValidation allowBlank="true" error="Type a percentage, like 30%." errorStyle="stop" operator="between" showDropDown="false" showErrorMessage="true" showInputMessage="false" sqref="D1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0B0B"/>
    <pageSetUpPr fitToPage="false"/>
  </sheetPr>
  <dimension ref="A1:G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22"/>
    <col collapsed="false" customWidth="true" hidden="false" outlineLevel="0" max="6" min="6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26.8" hidden="false" customHeight="false" outlineLevel="0" collapsed="false">
      <c r="A2" s="1"/>
      <c r="B2" s="18" t="str">
        <f aca="false">IF(YourName="","Your money, at a glance.","Hi "&amp;YourName&amp;". Here's where you are.")</f>
        <v>Your money, at a glance.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9" t="str">
        <f aca="true">"Updated "&amp;TEXT(TODAY(),"dddd d mmmm")</f>
        <v>Updated Thursday 29 October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</row>
    <row r="6" customFormat="false" ht="15" hidden="false" customHeight="false" outlineLevel="0" collapsed="false">
      <c r="A6" s="1"/>
      <c r="B6" s="20" t="s">
        <v>22</v>
      </c>
      <c r="C6" s="1"/>
      <c r="D6" s="1"/>
      <c r="E6" s="1"/>
      <c r="F6" s="1"/>
      <c r="G6" s="1"/>
    </row>
    <row r="7" customFormat="false" ht="33.75" hidden="false" customHeight="true" outlineLevel="0" collapsed="false">
      <c r="A7" s="1"/>
      <c r="B7" s="21" t="n">
        <f aca="false">C50</f>
        <v>0</v>
      </c>
      <c r="C7" s="21"/>
      <c r="D7" s="21"/>
      <c r="E7" s="21"/>
      <c r="F7" s="1"/>
      <c r="G7" s="1"/>
    </row>
    <row r="8" customFormat="false" ht="33.75" hidden="false" customHeight="true" outlineLevel="0" collapsed="false">
      <c r="A8" s="1"/>
      <c r="B8" s="21"/>
      <c r="C8" s="21"/>
      <c r="D8" s="21"/>
      <c r="E8" s="21"/>
      <c r="F8" s="1"/>
      <c r="G8" s="1"/>
    </row>
    <row r="9" customFormat="false" ht="33.75" hidden="false" customHeight="true" outlineLevel="0" collapsed="false">
      <c r="A9" s="1"/>
      <c r="B9" s="21"/>
      <c r="C9" s="21"/>
      <c r="D9" s="21"/>
      <c r="E9" s="21"/>
      <c r="F9" s="1"/>
      <c r="G9" s="1"/>
    </row>
    <row r="10" customFormat="false" ht="15" hidden="false" customHeight="false" outlineLevel="0" collapsed="false">
      <c r="A10" s="1"/>
      <c r="B10" s="22" t="str">
        <f aca="false">IF(C50&gt;=0,"You can breathe. This is yours to use this month.",IF(C50&gt;=-C53,"You're into your cushion. Go gently this month.","Pause big spends for now. Start with what's owed to you →"))</f>
        <v>You can breathe. This is yours to use this month.</v>
      </c>
      <c r="C10" s="22"/>
      <c r="D10" s="22"/>
      <c r="E10" s="22"/>
      <c r="F10" s="1"/>
      <c r="G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</row>
    <row r="13" customFormat="false" ht="15" hidden="false" customHeight="false" outlineLevel="0" collapsed="false">
      <c r="A13" s="1"/>
      <c r="B13" s="23" t="s">
        <v>23</v>
      </c>
      <c r="C13" s="23" t="s">
        <v>24</v>
      </c>
      <c r="D13" s="23" t="s">
        <v>25</v>
      </c>
      <c r="E13" s="23" t="s">
        <v>26</v>
      </c>
      <c r="F13" s="1"/>
      <c r="G13" s="1"/>
    </row>
    <row r="14" customFormat="false" ht="24.45" hidden="false" customHeight="false" outlineLevel="0" collapsed="false">
      <c r="A14" s="1"/>
      <c r="B14" s="24" t="n">
        <f aca="false">C41</f>
        <v>0</v>
      </c>
      <c r="C14" s="24" t="n">
        <f aca="false">C42</f>
        <v>0</v>
      </c>
      <c r="D14" s="24" t="n">
        <f aca="false">C45</f>
        <v>0</v>
      </c>
      <c r="E14" s="24" t="n">
        <f aca="false">C46</f>
        <v>0</v>
      </c>
      <c r="F14" s="1"/>
      <c r="G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5" hidden="false" customHeight="false" outlineLevel="0" collapsed="false">
      <c r="A17" s="1"/>
      <c r="B17" s="20" t="s">
        <v>27</v>
      </c>
      <c r="C17" s="1"/>
      <c r="D17" s="1"/>
      <c r="E17" s="1"/>
      <c r="F17" s="1"/>
      <c r="G17" s="1"/>
    </row>
    <row r="18" customFormat="false" ht="30" hidden="false" customHeight="true" outlineLevel="0" collapsed="false">
      <c r="A18" s="1"/>
      <c r="B18" s="24" t="n">
        <f aca="false">C47</f>
        <v>0</v>
      </c>
      <c r="C18" s="25" t="str">
        <f aca="false">IF(C48=0,"Nothing waiting. Lovely.",C48&amp;IF(C48=1," invoice"," invoices")&amp;" waiting"&amp;IF(C49&gt;0,", "&amp;C49&amp;" overdue. A gentle nudge today?",". All on time."))</f>
        <v>Nothing waiting. Lovely.</v>
      </c>
      <c r="D18" s="25"/>
      <c r="E18" s="25"/>
      <c r="F18" s="1"/>
      <c r="G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20" t="s">
        <v>28</v>
      </c>
      <c r="C20" s="1"/>
      <c r="D20" s="1"/>
      <c r="E20" s="1"/>
      <c r="F20" s="1"/>
      <c r="G20" s="1"/>
    </row>
    <row r="21" customFormat="false" ht="30" hidden="false" customHeight="true" outlineLevel="0" collapsed="false">
      <c r="A21" s="1"/>
      <c r="B21" s="24" t="n">
        <f aca="false">C57</f>
        <v>0</v>
      </c>
      <c r="C21" s="25" t="str">
        <f aca="true">IF(C54=0,"No yearly costs added yet. Insurance, software, memberships? Add them in Fixed costs.","Next: "&amp;C56&amp;" on "&amp;TEXT(C54,"d mmm")&amp;", "&amp;IF(C54-TODAY()=1,"tomorrow","in "&amp;(C54-TODAY())&amp;" days")&amp;". Yearly costs total "&amp;TEXT(C58,"#,##0")&amp;", about "&amp;TEXT(C58/12,"#,##0")&amp;" a month to put aside.")</f>
        <v>No yearly costs added yet. Insurance, software, memberships? Add them in Fixed costs.</v>
      </c>
      <c r="D21" s="25"/>
      <c r="E21" s="25"/>
      <c r="F21" s="1"/>
      <c r="G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20" t="s">
        <v>29</v>
      </c>
      <c r="C23" s="1"/>
      <c r="D23" s="1"/>
      <c r="E23" s="1"/>
      <c r="F23" s="1"/>
      <c r="G23" s="1"/>
    </row>
    <row r="24" customFormat="false" ht="30" hidden="false" customHeight="true" outlineLevel="0" collapsed="false">
      <c r="A24" s="1"/>
      <c r="B24" s="24" t="n">
        <f aca="false">C59</f>
        <v>0</v>
      </c>
      <c r="C24" s="25" t="str">
        <f aca="false">IF(C60=0,"None logged this month. Coffee, parking, materials for clients? Add them in Client extras.",C60&amp;IF(C60=1," cost"," costs")&amp;" included in your fees, mostly "&amp;LOWER(C66)&amp;".")</f>
        <v>None logged this month. Coffee, parking, materials for clients? Add them in Client extras.</v>
      </c>
      <c r="D24" s="25"/>
      <c r="E24" s="25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20" t="s">
        <v>30</v>
      </c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26" t="str">
        <f aca="false">IF(C51=-1,"Your first money minute is waiting. Two numbers, about 60 seconds.",IF(C51&lt;=7,"On track ✓  Last check-in "&amp;IF(C51=0,"today",C51&amp;IF(C51=1," day"," days")&amp;" ago")&amp;". "&amp;C52&amp;" this month.","It's been "&amp;C51&amp;" days. One minute, two numbers. You've got this."))</f>
        <v>Your first money minute is waiting. Two numbers, about 60 seconds.</v>
      </c>
      <c r="C27" s="26"/>
      <c r="D27" s="26"/>
      <c r="E27" s="26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27" t="s">
        <v>31</v>
      </c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27" t="s">
        <v>32</v>
      </c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23" t="s">
        <v>33</v>
      </c>
      <c r="C40" s="1"/>
      <c r="D40" s="1"/>
      <c r="E40" s="1"/>
      <c r="F40" s="1"/>
      <c r="G40" s="1"/>
    </row>
    <row r="41" customFormat="false" ht="15" hidden="false" customHeight="false" outlineLevel="0" collapsed="false">
      <c r="A41" s="1"/>
      <c r="B41" s="28" t="s">
        <v>34</v>
      </c>
      <c r="C41" s="29" t="n">
        <f aca="false">IF(COUNT('Money minute'!B8:B107)=0,N(StartBalance),INDEX('Money minute'!C8:C107,MATCH(MAX('Money minute'!B8:B107),'Money minute'!B8:B107,0)))</f>
        <v>0</v>
      </c>
      <c r="D41" s="1"/>
      <c r="E41" s="1"/>
      <c r="F41" s="1"/>
      <c r="G41" s="1"/>
    </row>
    <row r="42" customFormat="false" ht="15" hidden="false" customHeight="false" outlineLevel="0" collapsed="false">
      <c r="A42" s="1"/>
      <c r="B42" s="28" t="s">
        <v>24</v>
      </c>
      <c r="C42" s="29" t="n">
        <f aca="true">SUMPRODUCT(('Owed to you'!E8:E107&gt;=(EOMONTH(TODAY(),-1)+1))*('Owed to you'!E8:E107&lt;=EOMONTH(TODAY(),0))*'Owed to you'!C8:C107)+SUMPRODUCT(('Money minute'!B8:B107&gt;=(EOMONTH(TODAY(),-1)+1))*('Money minute'!B8:B107&lt;=EOMONTH(TODAY(),0))*'Money minute'!D8:D107)</f>
        <v>0</v>
      </c>
      <c r="D42" s="1"/>
      <c r="E42" s="1"/>
      <c r="F42" s="1"/>
      <c r="G42" s="1"/>
    </row>
    <row r="43" customFormat="false" ht="15" hidden="false" customHeight="false" outlineLevel="0" collapsed="false">
      <c r="A43" s="1"/>
      <c r="B43" s="28" t="s">
        <v>35</v>
      </c>
      <c r="C43" s="29" t="n">
        <f aca="true">SUMPRODUCT(('Fixed costs'!D8:D107&lt;&gt;"Yearly")*('Fixed costs'!E8:E107&gt;DAY(TODAY()))*'Fixed costs'!C8:C107)</f>
        <v>0</v>
      </c>
      <c r="D43" s="1"/>
      <c r="E43" s="1"/>
      <c r="F43" s="1"/>
      <c r="G43" s="1"/>
    </row>
    <row r="44" customFormat="false" ht="15" hidden="false" customHeight="false" outlineLevel="0" collapsed="false">
      <c r="A44" s="1"/>
      <c r="B44" s="28" t="s">
        <v>36</v>
      </c>
      <c r="C44" s="29" t="n">
        <f aca="true">SUMPRODUCT(('Fixed costs'!D8:D107="Yearly")*('Fixed costs'!I8:I107=MONTH(TODAY()))*('Fixed costs'!E8:E107&gt;DAY(TODAY()))*'Fixed costs'!C8:C107)</f>
        <v>0</v>
      </c>
      <c r="D44" s="1"/>
      <c r="E44" s="1"/>
      <c r="F44" s="1"/>
      <c r="G44" s="1"/>
    </row>
    <row r="45" customFormat="false" ht="15" hidden="false" customHeight="false" outlineLevel="0" collapsed="false">
      <c r="A45" s="1"/>
      <c r="B45" s="28" t="s">
        <v>37</v>
      </c>
      <c r="C45" s="29" t="n">
        <f aca="false">C43+C44</f>
        <v>0</v>
      </c>
      <c r="D45" s="1"/>
      <c r="E45" s="1"/>
      <c r="F45" s="1"/>
      <c r="G45" s="1"/>
    </row>
    <row r="46" customFormat="false" ht="15" hidden="false" customHeight="false" outlineLevel="0" collapsed="false">
      <c r="A46" s="1"/>
      <c r="B46" s="28" t="s">
        <v>38</v>
      </c>
      <c r="C46" s="29" t="n">
        <f aca="false">ROUND(N(TaxRate)*C42,0)</f>
        <v>0</v>
      </c>
      <c r="D46" s="1"/>
      <c r="E46" s="1"/>
      <c r="F46" s="1"/>
      <c r="G46" s="1"/>
    </row>
    <row r="47" customFormat="false" ht="15" hidden="false" customHeight="false" outlineLevel="0" collapsed="false">
      <c r="A47" s="1"/>
      <c r="B47" s="28" t="s">
        <v>39</v>
      </c>
      <c r="C47" s="29" t="n">
        <f aca="false">SUMPRODUCT(('Owed to you'!E8:E107="")*'Owed to you'!C8:C107)</f>
        <v>0</v>
      </c>
      <c r="D47" s="1"/>
      <c r="E47" s="1"/>
      <c r="F47" s="1"/>
      <c r="G47" s="1"/>
    </row>
    <row r="48" customFormat="false" ht="15" hidden="false" customHeight="false" outlineLevel="0" collapsed="false">
      <c r="A48" s="1"/>
      <c r="B48" s="28" t="s">
        <v>40</v>
      </c>
      <c r="C48" s="29" t="n">
        <f aca="false">SUMPRODUCT(('Owed to you'!E8:E107="")*('Owed to you'!C8:C107&lt;&gt;""))</f>
        <v>0</v>
      </c>
      <c r="D48" s="1"/>
      <c r="E48" s="1"/>
      <c r="F48" s="1"/>
      <c r="G48" s="1"/>
    </row>
    <row r="49" customFormat="false" ht="15" hidden="false" customHeight="false" outlineLevel="0" collapsed="false">
      <c r="A49" s="1"/>
      <c r="B49" s="28" t="s">
        <v>41</v>
      </c>
      <c r="C49" s="29" t="n">
        <f aca="true">SUMPRODUCT(('Owed to you'!E8:E107="")*('Owed to you'!C8:C107&lt;&gt;"")*('Owed to you'!D8:D107&lt;&gt;"")*('Owed to you'!D8:D107&lt;TODAY()))</f>
        <v>0</v>
      </c>
      <c r="D49" s="1"/>
      <c r="E49" s="1"/>
      <c r="F49" s="1"/>
      <c r="G49" s="1"/>
    </row>
    <row r="50" customFormat="false" ht="15" hidden="false" customHeight="false" outlineLevel="0" collapsed="false">
      <c r="A50" s="1"/>
      <c r="B50" s="28" t="s">
        <v>42</v>
      </c>
      <c r="C50" s="29" t="n">
        <f aca="false">C41-C45-C46-N(Cushion)</f>
        <v>0</v>
      </c>
      <c r="D50" s="1"/>
      <c r="E50" s="1"/>
      <c r="F50" s="1"/>
      <c r="G50" s="1"/>
    </row>
    <row r="51" customFormat="false" ht="15" hidden="false" customHeight="false" outlineLevel="0" collapsed="false">
      <c r="A51" s="1"/>
      <c r="B51" s="28" t="s">
        <v>43</v>
      </c>
      <c r="C51" s="29" t="n">
        <f aca="true">IF(COUNT('Money minute'!B8:B107)=0,-1,TODAY()-MAX('Money minute'!B8:B107))</f>
        <v>-1</v>
      </c>
      <c r="D51" s="1"/>
      <c r="E51" s="1"/>
      <c r="F51" s="1"/>
      <c r="G51" s="1"/>
    </row>
    <row r="52" customFormat="false" ht="15" hidden="false" customHeight="false" outlineLevel="0" collapsed="false">
      <c r="A52" s="1"/>
      <c r="B52" s="28" t="s">
        <v>44</v>
      </c>
      <c r="C52" s="29" t="n">
        <f aca="true">COUNTIFS('Money minute'!B8:B107,"&gt;="&amp;(EOMONTH(TODAY(),-1)+1),'Money minute'!B8:B107,"&lt;="&amp;EOMONTH(TODAY(),0))</f>
        <v>0</v>
      </c>
      <c r="D52" s="1"/>
      <c r="E52" s="1"/>
      <c r="F52" s="1"/>
      <c r="G52" s="1"/>
    </row>
    <row r="53" customFormat="false" ht="15" hidden="false" customHeight="false" outlineLevel="0" collapsed="false">
      <c r="A53" s="1"/>
      <c r="B53" s="28" t="s">
        <v>45</v>
      </c>
      <c r="C53" s="29" t="n">
        <f aca="false">N(Cushion)</f>
        <v>0</v>
      </c>
      <c r="D53" s="1"/>
      <c r="E53" s="1"/>
      <c r="F53" s="1"/>
      <c r="G53" s="1"/>
    </row>
    <row r="54" customFormat="false" ht="15" hidden="false" customHeight="false" outlineLevel="0" collapsed="false">
      <c r="A54" s="1"/>
      <c r="B54" s="28" t="s">
        <v>46</v>
      </c>
      <c r="C54" s="30" t="n">
        <f aca="false">_xlfn.MINIFS('Fixed costs'!H8:H107,'Fixed costs'!D8:D107,"Yearly")</f>
        <v>0</v>
      </c>
      <c r="D54" s="1"/>
      <c r="E54" s="1"/>
      <c r="F54" s="1"/>
      <c r="G54" s="1"/>
    </row>
    <row r="55" customFormat="false" ht="15" hidden="false" customHeight="false" outlineLevel="0" collapsed="false">
      <c r="A55" s="1"/>
      <c r="B55" s="28" t="s">
        <v>47</v>
      </c>
      <c r="C55" s="29" t="n">
        <f aca="false">IF(C54=0,0,SUMPRODUCT(MAX(('Fixed costs'!D8:D107="Yearly")*('Fixed costs'!H8:H107=C54)*(ROW('Fixed costs'!H8:H107)-7))))</f>
        <v>0</v>
      </c>
      <c r="D55" s="1"/>
      <c r="E55" s="1"/>
      <c r="F55" s="1"/>
      <c r="G55" s="1"/>
    </row>
    <row r="56" customFormat="false" ht="15" hidden="false" customHeight="false" outlineLevel="0" collapsed="false">
      <c r="A56" s="1"/>
      <c r="B56" s="28" t="s">
        <v>48</v>
      </c>
      <c r="C56" s="29" t="str">
        <f aca="false">IF(C55=0,"",INDEX('Fixed costs'!B8:B107,C55))</f>
        <v/>
      </c>
      <c r="D56" s="1"/>
      <c r="E56" s="1"/>
      <c r="F56" s="1"/>
      <c r="G56" s="1"/>
    </row>
    <row r="57" customFormat="false" ht="15" hidden="false" customHeight="false" outlineLevel="0" collapsed="false">
      <c r="A57" s="1"/>
      <c r="B57" s="28" t="s">
        <v>49</v>
      </c>
      <c r="C57" s="29" t="n">
        <f aca="false">IF(C55=0,0,INDEX('Fixed costs'!C8:C107,C55))</f>
        <v>0</v>
      </c>
      <c r="D57" s="1"/>
      <c r="E57" s="1"/>
      <c r="F57" s="1"/>
      <c r="G57" s="1"/>
    </row>
    <row r="58" customFormat="false" ht="15" hidden="false" customHeight="false" outlineLevel="0" collapsed="false">
      <c r="A58" s="1"/>
      <c r="B58" s="28" t="s">
        <v>50</v>
      </c>
      <c r="C58" s="29" t="n">
        <f aca="false">SUMPRODUCT(('Fixed costs'!D8:D107="Yearly")*'Fixed costs'!C8:C107)</f>
        <v>0</v>
      </c>
      <c r="D58" s="1"/>
      <c r="E58" s="1"/>
      <c r="F58" s="1"/>
      <c r="G58" s="1"/>
    </row>
    <row r="59" customFormat="false" ht="15" hidden="false" customHeight="false" outlineLevel="0" collapsed="false">
      <c r="A59" s="1"/>
      <c r="B59" s="28" t="s">
        <v>51</v>
      </c>
      <c r="C59" s="29" t="n">
        <f aca="true">SUMPRODUCT(('Client extras'!B8:B107&gt;=(EOMONTH(TODAY(),-1)+1))*('Client extras'!B8:B107&lt;=EOMONTH(TODAY(),0))*'Client extras'!F8:F107)</f>
        <v>0</v>
      </c>
      <c r="D59" s="1"/>
      <c r="E59" s="1"/>
      <c r="F59" s="1"/>
      <c r="G59" s="1"/>
    </row>
    <row r="60" customFormat="false" ht="15" hidden="false" customHeight="false" outlineLevel="0" collapsed="false">
      <c r="A60" s="1"/>
      <c r="B60" s="28" t="s">
        <v>52</v>
      </c>
      <c r="C60" s="29" t="n">
        <f aca="true">SUMPRODUCT(('Client extras'!B8:B107&gt;=(EOMONTH(TODAY(),-1)+1))*('Client extras'!B8:B107&lt;=EOMONTH(TODAY(),0))*('Client extras'!F8:F107&lt;&gt;""))</f>
        <v>0</v>
      </c>
      <c r="D60" s="1"/>
      <c r="E60" s="1"/>
      <c r="F60" s="1"/>
      <c r="G60" s="1"/>
    </row>
    <row r="61" customFormat="false" ht="15" hidden="false" customHeight="false" outlineLevel="0" collapsed="false">
      <c r="A61" s="1"/>
      <c r="B61" s="28" t="s">
        <v>53</v>
      </c>
      <c r="C61" s="29" t="n">
        <f aca="true">SUMPRODUCT(('Client extras'!B8:B107&gt;=(EOMONTH(TODAY(),-1)+1))*('Client extras'!B8:B107&lt;=EOMONTH(TODAY(),0))*('Client extras'!E8:E107="Meetings &amp; hospitality")*'Client extras'!F8:F107)</f>
        <v>0</v>
      </c>
      <c r="D61" s="1"/>
      <c r="E61" s="1"/>
      <c r="F61" s="1"/>
      <c r="G61" s="1"/>
    </row>
    <row r="62" customFormat="false" ht="15" hidden="false" customHeight="false" outlineLevel="0" collapsed="false">
      <c r="A62" s="1"/>
      <c r="B62" s="28" t="s">
        <v>54</v>
      </c>
      <c r="C62" s="29" t="n">
        <f aca="true">SUMPRODUCT(('Client extras'!B8:B107&gt;=(EOMONTH(TODAY(),-1)+1))*('Client extras'!B8:B107&lt;=EOMONTH(TODAY(),0))*('Client extras'!E8:E107="Travel &amp; parking")*'Client extras'!F8:F107)</f>
        <v>0</v>
      </c>
      <c r="D62" s="1"/>
      <c r="E62" s="1"/>
      <c r="F62" s="1"/>
      <c r="G62" s="1"/>
    </row>
    <row r="63" customFormat="false" ht="15" hidden="false" customHeight="false" outlineLevel="0" collapsed="false">
      <c r="A63" s="1"/>
      <c r="B63" s="28" t="s">
        <v>55</v>
      </c>
      <c r="C63" s="29" t="n">
        <f aca="true">SUMPRODUCT(('Client extras'!B8:B107&gt;=(EOMONTH(TODAY(),-1)+1))*('Client extras'!B8:B107&lt;=EOMONTH(TODAY(),0))*('Client extras'!E8:E107="Materials &amp; assets for clients")*'Client extras'!F8:F107)</f>
        <v>0</v>
      </c>
      <c r="D63" s="1"/>
      <c r="E63" s="1"/>
      <c r="F63" s="1"/>
      <c r="G63" s="1"/>
    </row>
    <row r="64" customFormat="false" ht="15" hidden="false" customHeight="false" outlineLevel="0" collapsed="false">
      <c r="A64" s="1"/>
      <c r="B64" s="28" t="s">
        <v>56</v>
      </c>
      <c r="C64" s="29" t="n">
        <f aca="true">SUMPRODUCT(('Client extras'!B8:B107&gt;=(EOMONTH(TODAY(),-1)+1))*('Client extras'!B8:B107&lt;=EOMONTH(TODAY(),0))*('Client extras'!E8:E107="Software &amp; licences")*'Client extras'!F8:F107)</f>
        <v>0</v>
      </c>
      <c r="D64" s="1"/>
      <c r="E64" s="1"/>
      <c r="F64" s="1"/>
      <c r="G64" s="1"/>
    </row>
    <row r="65" customFormat="false" ht="15" hidden="false" customHeight="false" outlineLevel="0" collapsed="false">
      <c r="A65" s="1"/>
      <c r="B65" s="28" t="s">
        <v>57</v>
      </c>
      <c r="C65" s="29" t="n">
        <f aca="true">SUMPRODUCT(('Client extras'!B8:B107&gt;=(EOMONTH(TODAY(),-1)+1))*('Client extras'!B8:B107&lt;=EOMONTH(TODAY(),0))*('Client extras'!E8:E107="Other")*'Client extras'!F8:F107)</f>
        <v>0</v>
      </c>
      <c r="D65" s="1"/>
      <c r="E65" s="1"/>
      <c r="F65" s="1"/>
      <c r="G65" s="1"/>
    </row>
    <row r="66" customFormat="false" ht="15" hidden="false" customHeight="false" outlineLevel="0" collapsed="false">
      <c r="A66" s="1"/>
      <c r="B66" s="28" t="s">
        <v>58</v>
      </c>
      <c r="C66" s="29" t="str">
        <f aca="false">IF(C59=0,"",SUBSTITUTE(INDEX(B61:B65,MATCH(MAX(C61:C65),C61:C65,0)),"Extras: ",""))</f>
        <v/>
      </c>
      <c r="D66" s="1"/>
      <c r="E66" s="1"/>
      <c r="F66" s="1"/>
      <c r="G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</row>
  </sheetData>
  <mergeCells count="6">
    <mergeCell ref="B7:E9"/>
    <mergeCell ref="B10:E10"/>
    <mergeCell ref="C18:E18"/>
    <mergeCell ref="C21:E21"/>
    <mergeCell ref="C24:E24"/>
    <mergeCell ref="B27:E27"/>
  </mergeCells>
  <conditionalFormatting sqref="B7:E10">
    <cfRule type="expression" priority="2" aboveAverage="0" equalAverage="0" bottom="0" percent="0" rank="0" text="" dxfId="0">
      <formula>$C$50&lt;-$C$53</formula>
    </cfRule>
    <cfRule type="expression" priority="3" aboveAverage="0" equalAverage="0" bottom="0" percent="0" rank="0" text="" dxfId="1">
      <formula>AND($C$50&lt;0,$C$50&gt;=-$C$53)</formula>
    </cfRule>
    <cfRule type="expression" priority="4" aboveAverage="0" equalAverage="0" bottom="0" percent="0" rank="0" text="" dxfId="2">
      <formula>$C$50&gt;=0</formula>
    </cfRule>
  </conditionalFormatting>
  <conditionalFormatting sqref="B27:E27">
    <cfRule type="expression" priority="5" aboveAverage="0" equalAverage="0" bottom="0" percent="0" rank="0" text="" dxfId="2">
      <formula>AND($C$51&gt;=0,$C$51&lt;=7)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005C"/>
    <pageSetUpPr fitToPage="false"/>
  </sheetPr>
  <dimension ref="A1:F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39.75" hidden="false" customHeight="true" outlineLevel="0" collapsed="false">
      <c r="A2" s="1"/>
      <c r="B2" s="2" t="s">
        <v>59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3" t="s">
        <v>60</v>
      </c>
      <c r="C3" s="1"/>
      <c r="D3" s="1"/>
      <c r="E3" s="1"/>
      <c r="F3" s="1"/>
    </row>
    <row r="4" customFormat="false" ht="15" hidden="false" customHeight="false" outlineLevel="0" collapsed="false">
      <c r="A4" s="1"/>
      <c r="B4" s="11" t="s">
        <v>61</v>
      </c>
      <c r="C4" s="1"/>
      <c r="D4" s="1"/>
      <c r="E4" s="1"/>
      <c r="F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</row>
    <row r="6" customFormat="false" ht="27.75" hidden="false" customHeight="true" outlineLevel="0" collapsed="false">
      <c r="A6" s="1"/>
      <c r="B6" s="31" t="s">
        <v>62</v>
      </c>
      <c r="C6" s="31" t="s">
        <v>23</v>
      </c>
      <c r="D6" s="31" t="s">
        <v>63</v>
      </c>
      <c r="E6" s="31" t="s">
        <v>64</v>
      </c>
      <c r="F6" s="1"/>
    </row>
    <row r="7" customFormat="false" ht="15" hidden="false" customHeight="false" outlineLevel="0" collapsed="false">
      <c r="A7" s="1"/>
      <c r="B7" s="32" t="s">
        <v>65</v>
      </c>
      <c r="C7" s="32" t="s">
        <v>66</v>
      </c>
      <c r="D7" s="32" t="s">
        <v>67</v>
      </c>
      <c r="E7" s="32" t="s">
        <v>68</v>
      </c>
      <c r="F7" s="1"/>
    </row>
    <row r="8" customFormat="false" ht="15" hidden="false" customHeight="false" outlineLevel="0" collapsed="false">
      <c r="A8" s="1"/>
      <c r="B8" s="33"/>
      <c r="C8" s="34"/>
      <c r="D8" s="34"/>
      <c r="E8" s="35"/>
      <c r="F8" s="1"/>
    </row>
    <row r="9" customFormat="false" ht="15" hidden="false" customHeight="false" outlineLevel="0" collapsed="false">
      <c r="A9" s="1"/>
      <c r="B9" s="33"/>
      <c r="C9" s="34"/>
      <c r="D9" s="34"/>
      <c r="E9" s="35"/>
      <c r="F9" s="1"/>
    </row>
    <row r="10" customFormat="false" ht="15" hidden="false" customHeight="false" outlineLevel="0" collapsed="false">
      <c r="A10" s="1"/>
      <c r="B10" s="33"/>
      <c r="C10" s="34"/>
      <c r="D10" s="34"/>
      <c r="E10" s="35"/>
      <c r="F10" s="1"/>
    </row>
    <row r="11" customFormat="false" ht="15" hidden="false" customHeight="false" outlineLevel="0" collapsed="false">
      <c r="A11" s="1"/>
      <c r="B11" s="33"/>
      <c r="C11" s="34"/>
      <c r="D11" s="34"/>
      <c r="E11" s="35"/>
      <c r="F11" s="1"/>
    </row>
    <row r="12" customFormat="false" ht="15" hidden="false" customHeight="false" outlineLevel="0" collapsed="false">
      <c r="A12" s="1"/>
      <c r="B12" s="33"/>
      <c r="C12" s="34"/>
      <c r="D12" s="34"/>
      <c r="E12" s="35"/>
      <c r="F12" s="1"/>
    </row>
    <row r="13" customFormat="false" ht="15" hidden="false" customHeight="false" outlineLevel="0" collapsed="false">
      <c r="A13" s="1"/>
      <c r="B13" s="33"/>
      <c r="C13" s="34"/>
      <c r="D13" s="34"/>
      <c r="E13" s="35"/>
      <c r="F13" s="1"/>
    </row>
    <row r="14" customFormat="false" ht="15" hidden="false" customHeight="false" outlineLevel="0" collapsed="false">
      <c r="A14" s="1"/>
      <c r="B14" s="33"/>
      <c r="C14" s="34"/>
      <c r="D14" s="34"/>
      <c r="E14" s="35"/>
      <c r="F14" s="1"/>
    </row>
    <row r="15" customFormat="false" ht="15" hidden="false" customHeight="false" outlineLevel="0" collapsed="false">
      <c r="A15" s="1"/>
      <c r="B15" s="33"/>
      <c r="C15" s="34"/>
      <c r="D15" s="34"/>
      <c r="E15" s="35"/>
      <c r="F15" s="1"/>
    </row>
    <row r="16" customFormat="false" ht="15" hidden="false" customHeight="false" outlineLevel="0" collapsed="false">
      <c r="A16" s="1"/>
      <c r="B16" s="33"/>
      <c r="C16" s="34"/>
      <c r="D16" s="34"/>
      <c r="E16" s="35"/>
      <c r="F16" s="1"/>
    </row>
    <row r="17" customFormat="false" ht="15" hidden="false" customHeight="false" outlineLevel="0" collapsed="false">
      <c r="A17" s="1"/>
      <c r="B17" s="33"/>
      <c r="C17" s="34"/>
      <c r="D17" s="34"/>
      <c r="E17" s="35"/>
      <c r="F17" s="1"/>
    </row>
    <row r="18" customFormat="false" ht="15" hidden="false" customHeight="false" outlineLevel="0" collapsed="false">
      <c r="A18" s="1"/>
      <c r="B18" s="33"/>
      <c r="C18" s="34"/>
      <c r="D18" s="34"/>
      <c r="E18" s="35"/>
      <c r="F18" s="1"/>
    </row>
    <row r="19" customFormat="false" ht="15" hidden="false" customHeight="false" outlineLevel="0" collapsed="false">
      <c r="A19" s="1"/>
      <c r="B19" s="33"/>
      <c r="C19" s="34"/>
      <c r="D19" s="34"/>
      <c r="E19" s="35"/>
      <c r="F19" s="1"/>
    </row>
    <row r="20" customFormat="false" ht="15" hidden="false" customHeight="false" outlineLevel="0" collapsed="false">
      <c r="A20" s="1"/>
      <c r="B20" s="33"/>
      <c r="C20" s="34"/>
      <c r="D20" s="34"/>
      <c r="E20" s="35"/>
      <c r="F20" s="1"/>
    </row>
    <row r="21" customFormat="false" ht="15" hidden="false" customHeight="false" outlineLevel="0" collapsed="false">
      <c r="A21" s="1"/>
      <c r="B21" s="33"/>
      <c r="C21" s="34"/>
      <c r="D21" s="34"/>
      <c r="E21" s="35"/>
      <c r="F21" s="1"/>
    </row>
    <row r="22" customFormat="false" ht="15" hidden="false" customHeight="false" outlineLevel="0" collapsed="false">
      <c r="A22" s="1"/>
      <c r="B22" s="33"/>
      <c r="C22" s="34"/>
      <c r="D22" s="34"/>
      <c r="E22" s="35"/>
      <c r="F22" s="1"/>
    </row>
    <row r="23" customFormat="false" ht="15" hidden="false" customHeight="false" outlineLevel="0" collapsed="false">
      <c r="A23" s="1"/>
      <c r="B23" s="33"/>
      <c r="C23" s="34"/>
      <c r="D23" s="34"/>
      <c r="E23" s="35"/>
      <c r="F23" s="1"/>
    </row>
    <row r="24" customFormat="false" ht="15" hidden="false" customHeight="false" outlineLevel="0" collapsed="false">
      <c r="A24" s="1"/>
      <c r="B24" s="33"/>
      <c r="C24" s="34"/>
      <c r="D24" s="34"/>
      <c r="E24" s="35"/>
      <c r="F24" s="1"/>
    </row>
    <row r="25" customFormat="false" ht="15" hidden="false" customHeight="false" outlineLevel="0" collapsed="false">
      <c r="A25" s="1"/>
      <c r="B25" s="33"/>
      <c r="C25" s="34"/>
      <c r="D25" s="34"/>
      <c r="E25" s="35"/>
      <c r="F25" s="1"/>
    </row>
    <row r="26" customFormat="false" ht="15" hidden="false" customHeight="false" outlineLevel="0" collapsed="false">
      <c r="A26" s="1"/>
      <c r="B26" s="33"/>
      <c r="C26" s="34"/>
      <c r="D26" s="34"/>
      <c r="E26" s="35"/>
      <c r="F26" s="1"/>
    </row>
    <row r="27" customFormat="false" ht="15" hidden="false" customHeight="false" outlineLevel="0" collapsed="false">
      <c r="A27" s="1"/>
      <c r="B27" s="33"/>
      <c r="C27" s="34"/>
      <c r="D27" s="34"/>
      <c r="E27" s="35"/>
      <c r="F27" s="1"/>
    </row>
    <row r="28" customFormat="false" ht="15" hidden="false" customHeight="false" outlineLevel="0" collapsed="false">
      <c r="A28" s="1"/>
      <c r="B28" s="33"/>
      <c r="C28" s="34"/>
      <c r="D28" s="34"/>
      <c r="E28" s="35"/>
      <c r="F28" s="1"/>
    </row>
    <row r="29" customFormat="false" ht="15" hidden="false" customHeight="false" outlineLevel="0" collapsed="false">
      <c r="A29" s="1"/>
      <c r="B29" s="33"/>
      <c r="C29" s="34"/>
      <c r="D29" s="34"/>
      <c r="E29" s="35"/>
      <c r="F29" s="1"/>
    </row>
    <row r="30" customFormat="false" ht="15" hidden="false" customHeight="false" outlineLevel="0" collapsed="false">
      <c r="A30" s="1"/>
      <c r="B30" s="33"/>
      <c r="C30" s="34"/>
      <c r="D30" s="34"/>
      <c r="E30" s="35"/>
      <c r="F30" s="1"/>
    </row>
    <row r="31" customFormat="false" ht="15" hidden="false" customHeight="false" outlineLevel="0" collapsed="false">
      <c r="A31" s="1"/>
      <c r="B31" s="33"/>
      <c r="C31" s="34"/>
      <c r="D31" s="34"/>
      <c r="E31" s="35"/>
      <c r="F31" s="1"/>
    </row>
    <row r="32" customFormat="false" ht="15" hidden="false" customHeight="false" outlineLevel="0" collapsed="false">
      <c r="A32" s="1"/>
      <c r="B32" s="33"/>
      <c r="C32" s="34"/>
      <c r="D32" s="34"/>
      <c r="E32" s="35"/>
      <c r="F32" s="1"/>
    </row>
    <row r="33" customFormat="false" ht="15" hidden="false" customHeight="false" outlineLevel="0" collapsed="false">
      <c r="A33" s="1"/>
      <c r="B33" s="33"/>
      <c r="C33" s="34"/>
      <c r="D33" s="34"/>
      <c r="E33" s="35"/>
      <c r="F33" s="1"/>
    </row>
    <row r="34" customFormat="false" ht="15" hidden="false" customHeight="false" outlineLevel="0" collapsed="false">
      <c r="A34" s="1"/>
      <c r="B34" s="33"/>
      <c r="C34" s="34"/>
      <c r="D34" s="34"/>
      <c r="E34" s="35"/>
      <c r="F34" s="1"/>
    </row>
    <row r="35" customFormat="false" ht="15" hidden="false" customHeight="false" outlineLevel="0" collapsed="false">
      <c r="A35" s="1"/>
      <c r="B35" s="33"/>
      <c r="C35" s="34"/>
      <c r="D35" s="34"/>
      <c r="E35" s="35"/>
      <c r="F35" s="1"/>
    </row>
    <row r="36" customFormat="false" ht="15" hidden="false" customHeight="false" outlineLevel="0" collapsed="false">
      <c r="A36" s="1"/>
      <c r="B36" s="33"/>
      <c r="C36" s="34"/>
      <c r="D36" s="34"/>
      <c r="E36" s="35"/>
      <c r="F36" s="1"/>
    </row>
    <row r="37" customFormat="false" ht="15" hidden="false" customHeight="false" outlineLevel="0" collapsed="false">
      <c r="A37" s="1"/>
      <c r="B37" s="33"/>
      <c r="C37" s="34"/>
      <c r="D37" s="34"/>
      <c r="E37" s="35"/>
      <c r="F37" s="1"/>
    </row>
    <row r="38" customFormat="false" ht="15" hidden="false" customHeight="false" outlineLevel="0" collapsed="false">
      <c r="A38" s="1"/>
      <c r="B38" s="33"/>
      <c r="C38" s="34"/>
      <c r="D38" s="34"/>
      <c r="E38" s="35"/>
      <c r="F38" s="1"/>
    </row>
    <row r="39" customFormat="false" ht="15" hidden="false" customHeight="false" outlineLevel="0" collapsed="false">
      <c r="A39" s="1"/>
      <c r="B39" s="33"/>
      <c r="C39" s="34"/>
      <c r="D39" s="34"/>
      <c r="E39" s="35"/>
      <c r="F39" s="1"/>
    </row>
    <row r="40" customFormat="false" ht="15" hidden="false" customHeight="false" outlineLevel="0" collapsed="false">
      <c r="A40" s="1"/>
      <c r="B40" s="33"/>
      <c r="C40" s="34"/>
      <c r="D40" s="34"/>
      <c r="E40" s="35"/>
      <c r="F40" s="1"/>
    </row>
    <row r="41" customFormat="false" ht="15" hidden="false" customHeight="false" outlineLevel="0" collapsed="false">
      <c r="A41" s="1"/>
      <c r="B41" s="33"/>
      <c r="C41" s="34"/>
      <c r="D41" s="34"/>
      <c r="E41" s="35"/>
      <c r="F41" s="1"/>
    </row>
    <row r="42" customFormat="false" ht="15" hidden="false" customHeight="false" outlineLevel="0" collapsed="false">
      <c r="A42" s="1"/>
      <c r="B42" s="33"/>
      <c r="C42" s="34"/>
      <c r="D42" s="34"/>
      <c r="E42" s="35"/>
      <c r="F42" s="1"/>
    </row>
    <row r="43" customFormat="false" ht="15" hidden="false" customHeight="false" outlineLevel="0" collapsed="false">
      <c r="A43" s="1"/>
      <c r="B43" s="33"/>
      <c r="C43" s="34"/>
      <c r="D43" s="34"/>
      <c r="E43" s="35"/>
      <c r="F43" s="1"/>
    </row>
    <row r="44" customFormat="false" ht="15" hidden="false" customHeight="false" outlineLevel="0" collapsed="false">
      <c r="A44" s="1"/>
      <c r="B44" s="33"/>
      <c r="C44" s="34"/>
      <c r="D44" s="34"/>
      <c r="E44" s="35"/>
      <c r="F44" s="1"/>
    </row>
    <row r="45" customFormat="false" ht="15" hidden="false" customHeight="false" outlineLevel="0" collapsed="false">
      <c r="A45" s="1"/>
      <c r="B45" s="33"/>
      <c r="C45" s="34"/>
      <c r="D45" s="34"/>
      <c r="E45" s="35"/>
      <c r="F45" s="1"/>
    </row>
    <row r="46" customFormat="false" ht="15" hidden="false" customHeight="false" outlineLevel="0" collapsed="false">
      <c r="A46" s="1"/>
      <c r="B46" s="33"/>
      <c r="C46" s="34"/>
      <c r="D46" s="34"/>
      <c r="E46" s="35"/>
      <c r="F46" s="1"/>
    </row>
    <row r="47" customFormat="false" ht="15" hidden="false" customHeight="false" outlineLevel="0" collapsed="false">
      <c r="A47" s="1"/>
      <c r="B47" s="33"/>
      <c r="C47" s="34"/>
      <c r="D47" s="34"/>
      <c r="E47" s="35"/>
      <c r="F47" s="1"/>
    </row>
    <row r="48" customFormat="false" ht="15" hidden="false" customHeight="false" outlineLevel="0" collapsed="false">
      <c r="A48" s="1"/>
      <c r="B48" s="33"/>
      <c r="C48" s="34"/>
      <c r="D48" s="34"/>
      <c r="E48" s="35"/>
      <c r="F48" s="1"/>
    </row>
    <row r="49" customFormat="false" ht="15" hidden="false" customHeight="false" outlineLevel="0" collapsed="false">
      <c r="A49" s="1"/>
      <c r="B49" s="33"/>
      <c r="C49" s="34"/>
      <c r="D49" s="34"/>
      <c r="E49" s="35"/>
      <c r="F49" s="1"/>
    </row>
    <row r="50" customFormat="false" ht="15" hidden="false" customHeight="false" outlineLevel="0" collapsed="false">
      <c r="A50" s="1"/>
      <c r="B50" s="33"/>
      <c r="C50" s="34"/>
      <c r="D50" s="34"/>
      <c r="E50" s="35"/>
      <c r="F50" s="1"/>
    </row>
    <row r="51" customFormat="false" ht="15" hidden="false" customHeight="false" outlineLevel="0" collapsed="false">
      <c r="A51" s="1"/>
      <c r="B51" s="33"/>
      <c r="C51" s="34"/>
      <c r="D51" s="34"/>
      <c r="E51" s="35"/>
      <c r="F51" s="1"/>
    </row>
    <row r="52" customFormat="false" ht="15" hidden="false" customHeight="false" outlineLevel="0" collapsed="false">
      <c r="A52" s="1"/>
      <c r="B52" s="33"/>
      <c r="C52" s="34"/>
      <c r="D52" s="34"/>
      <c r="E52" s="35"/>
      <c r="F52" s="1"/>
    </row>
    <row r="53" customFormat="false" ht="15" hidden="false" customHeight="false" outlineLevel="0" collapsed="false">
      <c r="A53" s="1"/>
      <c r="B53" s="33"/>
      <c r="C53" s="34"/>
      <c r="D53" s="34"/>
      <c r="E53" s="35"/>
      <c r="F53" s="1"/>
    </row>
    <row r="54" customFormat="false" ht="15" hidden="false" customHeight="false" outlineLevel="0" collapsed="false">
      <c r="A54" s="1"/>
      <c r="B54" s="33"/>
      <c r="C54" s="34"/>
      <c r="D54" s="34"/>
      <c r="E54" s="35"/>
      <c r="F54" s="1"/>
    </row>
    <row r="55" customFormat="false" ht="15" hidden="false" customHeight="false" outlineLevel="0" collapsed="false">
      <c r="A55" s="1"/>
      <c r="B55" s="33"/>
      <c r="C55" s="34"/>
      <c r="D55" s="34"/>
      <c r="E55" s="35"/>
      <c r="F55" s="1"/>
    </row>
    <row r="56" customFormat="false" ht="15" hidden="false" customHeight="false" outlineLevel="0" collapsed="false">
      <c r="A56" s="1"/>
      <c r="B56" s="33"/>
      <c r="C56" s="34"/>
      <c r="D56" s="34"/>
      <c r="E56" s="35"/>
      <c r="F56" s="1"/>
    </row>
    <row r="57" customFormat="false" ht="15" hidden="false" customHeight="false" outlineLevel="0" collapsed="false">
      <c r="A57" s="1"/>
      <c r="B57" s="33"/>
      <c r="C57" s="34"/>
      <c r="D57" s="34"/>
      <c r="E57" s="35"/>
      <c r="F57" s="1"/>
    </row>
    <row r="58" customFormat="false" ht="15" hidden="false" customHeight="false" outlineLevel="0" collapsed="false">
      <c r="A58" s="1"/>
      <c r="B58" s="33"/>
      <c r="C58" s="34"/>
      <c r="D58" s="34"/>
      <c r="E58" s="35"/>
      <c r="F58" s="1"/>
    </row>
    <row r="59" customFormat="false" ht="15" hidden="false" customHeight="false" outlineLevel="0" collapsed="false">
      <c r="A59" s="1"/>
      <c r="B59" s="33"/>
      <c r="C59" s="34"/>
      <c r="D59" s="34"/>
      <c r="E59" s="35"/>
      <c r="F59" s="1"/>
    </row>
    <row r="60" customFormat="false" ht="15" hidden="false" customHeight="false" outlineLevel="0" collapsed="false">
      <c r="A60" s="1"/>
      <c r="B60" s="33"/>
      <c r="C60" s="34"/>
      <c r="D60" s="34"/>
      <c r="E60" s="35"/>
      <c r="F60" s="1"/>
    </row>
    <row r="61" customFormat="false" ht="15" hidden="false" customHeight="false" outlineLevel="0" collapsed="false">
      <c r="A61" s="1"/>
      <c r="B61" s="33"/>
      <c r="C61" s="34"/>
      <c r="D61" s="34"/>
      <c r="E61" s="35"/>
      <c r="F61" s="1"/>
    </row>
    <row r="62" customFormat="false" ht="15" hidden="false" customHeight="false" outlineLevel="0" collapsed="false">
      <c r="A62" s="1"/>
      <c r="B62" s="33"/>
      <c r="C62" s="34"/>
      <c r="D62" s="34"/>
      <c r="E62" s="35"/>
      <c r="F62" s="1"/>
    </row>
    <row r="63" customFormat="false" ht="15" hidden="false" customHeight="false" outlineLevel="0" collapsed="false">
      <c r="A63" s="1"/>
      <c r="B63" s="33"/>
      <c r="C63" s="34"/>
      <c r="D63" s="34"/>
      <c r="E63" s="35"/>
      <c r="F63" s="1"/>
    </row>
    <row r="64" customFormat="false" ht="15" hidden="false" customHeight="false" outlineLevel="0" collapsed="false">
      <c r="A64" s="1"/>
      <c r="B64" s="33"/>
      <c r="C64" s="34"/>
      <c r="D64" s="34"/>
      <c r="E64" s="35"/>
      <c r="F64" s="1"/>
    </row>
    <row r="65" customFormat="false" ht="15" hidden="false" customHeight="false" outlineLevel="0" collapsed="false">
      <c r="A65" s="1"/>
      <c r="B65" s="33"/>
      <c r="C65" s="34"/>
      <c r="D65" s="34"/>
      <c r="E65" s="35"/>
      <c r="F65" s="1"/>
    </row>
    <row r="66" customFormat="false" ht="15" hidden="false" customHeight="false" outlineLevel="0" collapsed="false">
      <c r="A66" s="1"/>
      <c r="B66" s="33"/>
      <c r="C66" s="34"/>
      <c r="D66" s="34"/>
      <c r="E66" s="35"/>
      <c r="F66" s="1"/>
    </row>
    <row r="67" customFormat="false" ht="15" hidden="false" customHeight="false" outlineLevel="0" collapsed="false">
      <c r="A67" s="1"/>
      <c r="B67" s="33"/>
      <c r="C67" s="34"/>
      <c r="D67" s="34"/>
      <c r="E67" s="35"/>
      <c r="F67" s="1"/>
    </row>
    <row r="68" customFormat="false" ht="15" hidden="false" customHeight="false" outlineLevel="0" collapsed="false">
      <c r="A68" s="1"/>
      <c r="B68" s="33"/>
      <c r="C68" s="34"/>
      <c r="D68" s="34"/>
      <c r="E68" s="35"/>
      <c r="F68" s="1"/>
    </row>
    <row r="69" customFormat="false" ht="15" hidden="false" customHeight="false" outlineLevel="0" collapsed="false">
      <c r="A69" s="1"/>
      <c r="B69" s="33"/>
      <c r="C69" s="34"/>
      <c r="D69" s="34"/>
      <c r="E69" s="35"/>
      <c r="F69" s="1"/>
    </row>
    <row r="70" customFormat="false" ht="15" hidden="false" customHeight="false" outlineLevel="0" collapsed="false">
      <c r="A70" s="1"/>
      <c r="B70" s="33"/>
      <c r="C70" s="34"/>
      <c r="D70" s="34"/>
      <c r="E70" s="35"/>
      <c r="F70" s="1"/>
    </row>
    <row r="71" customFormat="false" ht="15" hidden="false" customHeight="false" outlineLevel="0" collapsed="false">
      <c r="A71" s="1"/>
      <c r="B71" s="33"/>
      <c r="C71" s="34"/>
      <c r="D71" s="34"/>
      <c r="E71" s="35"/>
      <c r="F71" s="1"/>
    </row>
    <row r="72" customFormat="false" ht="15" hidden="false" customHeight="false" outlineLevel="0" collapsed="false">
      <c r="A72" s="1"/>
      <c r="B72" s="33"/>
      <c r="C72" s="34"/>
      <c r="D72" s="34"/>
      <c r="E72" s="35"/>
      <c r="F72" s="1"/>
    </row>
    <row r="73" customFormat="false" ht="15" hidden="false" customHeight="false" outlineLevel="0" collapsed="false">
      <c r="A73" s="1"/>
      <c r="B73" s="33"/>
      <c r="C73" s="34"/>
      <c r="D73" s="34"/>
      <c r="E73" s="35"/>
      <c r="F73" s="1"/>
    </row>
    <row r="74" customFormat="false" ht="15" hidden="false" customHeight="false" outlineLevel="0" collapsed="false">
      <c r="A74" s="1"/>
      <c r="B74" s="33"/>
      <c r="C74" s="34"/>
      <c r="D74" s="34"/>
      <c r="E74" s="35"/>
      <c r="F74" s="1"/>
    </row>
    <row r="75" customFormat="false" ht="15" hidden="false" customHeight="false" outlineLevel="0" collapsed="false">
      <c r="A75" s="1"/>
      <c r="B75" s="33"/>
      <c r="C75" s="34"/>
      <c r="D75" s="34"/>
      <c r="E75" s="35"/>
      <c r="F75" s="1"/>
    </row>
    <row r="76" customFormat="false" ht="15" hidden="false" customHeight="false" outlineLevel="0" collapsed="false">
      <c r="A76" s="1"/>
      <c r="B76" s="33"/>
      <c r="C76" s="34"/>
      <c r="D76" s="34"/>
      <c r="E76" s="35"/>
      <c r="F76" s="1"/>
    </row>
    <row r="77" customFormat="false" ht="15" hidden="false" customHeight="false" outlineLevel="0" collapsed="false">
      <c r="A77" s="1"/>
      <c r="B77" s="33"/>
      <c r="C77" s="34"/>
      <c r="D77" s="34"/>
      <c r="E77" s="35"/>
      <c r="F77" s="1"/>
    </row>
    <row r="78" customFormat="false" ht="15" hidden="false" customHeight="false" outlineLevel="0" collapsed="false">
      <c r="A78" s="1"/>
      <c r="B78" s="33"/>
      <c r="C78" s="34"/>
      <c r="D78" s="34"/>
      <c r="E78" s="35"/>
      <c r="F78" s="1"/>
    </row>
    <row r="79" customFormat="false" ht="15" hidden="false" customHeight="false" outlineLevel="0" collapsed="false">
      <c r="A79" s="1"/>
      <c r="B79" s="33"/>
      <c r="C79" s="34"/>
      <c r="D79" s="34"/>
      <c r="E79" s="35"/>
      <c r="F79" s="1"/>
    </row>
    <row r="80" customFormat="false" ht="15" hidden="false" customHeight="false" outlineLevel="0" collapsed="false">
      <c r="A80" s="1"/>
      <c r="B80" s="33"/>
      <c r="C80" s="34"/>
      <c r="D80" s="34"/>
      <c r="E80" s="35"/>
      <c r="F80" s="1"/>
    </row>
    <row r="81" customFormat="false" ht="15" hidden="false" customHeight="false" outlineLevel="0" collapsed="false">
      <c r="A81" s="1"/>
      <c r="B81" s="33"/>
      <c r="C81" s="34"/>
      <c r="D81" s="34"/>
      <c r="E81" s="35"/>
      <c r="F81" s="1"/>
    </row>
    <row r="82" customFormat="false" ht="15" hidden="false" customHeight="false" outlineLevel="0" collapsed="false">
      <c r="A82" s="1"/>
      <c r="B82" s="33"/>
      <c r="C82" s="34"/>
      <c r="D82" s="34"/>
      <c r="E82" s="35"/>
      <c r="F82" s="1"/>
    </row>
    <row r="83" customFormat="false" ht="15" hidden="false" customHeight="false" outlineLevel="0" collapsed="false">
      <c r="A83" s="1"/>
      <c r="B83" s="33"/>
      <c r="C83" s="34"/>
      <c r="D83" s="34"/>
      <c r="E83" s="35"/>
      <c r="F83" s="1"/>
    </row>
    <row r="84" customFormat="false" ht="15" hidden="false" customHeight="false" outlineLevel="0" collapsed="false">
      <c r="A84" s="1"/>
      <c r="B84" s="33"/>
      <c r="C84" s="34"/>
      <c r="D84" s="34"/>
      <c r="E84" s="35"/>
      <c r="F84" s="1"/>
    </row>
    <row r="85" customFormat="false" ht="15" hidden="false" customHeight="false" outlineLevel="0" collapsed="false">
      <c r="A85" s="1"/>
      <c r="B85" s="33"/>
      <c r="C85" s="34"/>
      <c r="D85" s="34"/>
      <c r="E85" s="35"/>
      <c r="F85" s="1"/>
    </row>
    <row r="86" customFormat="false" ht="15" hidden="false" customHeight="false" outlineLevel="0" collapsed="false">
      <c r="A86" s="1"/>
      <c r="B86" s="33"/>
      <c r="C86" s="34"/>
      <c r="D86" s="34"/>
      <c r="E86" s="35"/>
      <c r="F86" s="1"/>
    </row>
    <row r="87" customFormat="false" ht="15" hidden="false" customHeight="false" outlineLevel="0" collapsed="false">
      <c r="A87" s="1"/>
      <c r="B87" s="33"/>
      <c r="C87" s="34"/>
      <c r="D87" s="34"/>
      <c r="E87" s="35"/>
      <c r="F87" s="1"/>
    </row>
    <row r="88" customFormat="false" ht="15" hidden="false" customHeight="false" outlineLevel="0" collapsed="false">
      <c r="A88" s="1"/>
      <c r="B88" s="33"/>
      <c r="C88" s="34"/>
      <c r="D88" s="34"/>
      <c r="E88" s="35"/>
      <c r="F88" s="1"/>
    </row>
    <row r="89" customFormat="false" ht="15" hidden="false" customHeight="false" outlineLevel="0" collapsed="false">
      <c r="A89" s="1"/>
      <c r="B89" s="33"/>
      <c r="C89" s="34"/>
      <c r="D89" s="34"/>
      <c r="E89" s="35"/>
      <c r="F89" s="1"/>
    </row>
    <row r="90" customFormat="false" ht="15" hidden="false" customHeight="false" outlineLevel="0" collapsed="false">
      <c r="A90" s="1"/>
      <c r="B90" s="33"/>
      <c r="C90" s="34"/>
      <c r="D90" s="34"/>
      <c r="E90" s="35"/>
      <c r="F90" s="1"/>
    </row>
    <row r="91" customFormat="false" ht="15" hidden="false" customHeight="false" outlineLevel="0" collapsed="false">
      <c r="A91" s="1"/>
      <c r="B91" s="33"/>
      <c r="C91" s="34"/>
      <c r="D91" s="34"/>
      <c r="E91" s="35"/>
      <c r="F91" s="1"/>
    </row>
    <row r="92" customFormat="false" ht="15" hidden="false" customHeight="false" outlineLevel="0" collapsed="false">
      <c r="A92" s="1"/>
      <c r="B92" s="33"/>
      <c r="C92" s="34"/>
      <c r="D92" s="34"/>
      <c r="E92" s="35"/>
      <c r="F92" s="1"/>
    </row>
    <row r="93" customFormat="false" ht="15" hidden="false" customHeight="false" outlineLevel="0" collapsed="false">
      <c r="A93" s="1"/>
      <c r="B93" s="33"/>
      <c r="C93" s="34"/>
      <c r="D93" s="34"/>
      <c r="E93" s="35"/>
      <c r="F93" s="1"/>
    </row>
    <row r="94" customFormat="false" ht="15" hidden="false" customHeight="false" outlineLevel="0" collapsed="false">
      <c r="A94" s="1"/>
      <c r="B94" s="33"/>
      <c r="C94" s="34"/>
      <c r="D94" s="34"/>
      <c r="E94" s="35"/>
      <c r="F94" s="1"/>
    </row>
    <row r="95" customFormat="false" ht="15" hidden="false" customHeight="false" outlineLevel="0" collapsed="false">
      <c r="A95" s="1"/>
      <c r="B95" s="33"/>
      <c r="C95" s="34"/>
      <c r="D95" s="34"/>
      <c r="E95" s="35"/>
      <c r="F95" s="1"/>
    </row>
    <row r="96" customFormat="false" ht="15" hidden="false" customHeight="false" outlineLevel="0" collapsed="false">
      <c r="A96" s="1"/>
      <c r="B96" s="33"/>
      <c r="C96" s="34"/>
      <c r="D96" s="34"/>
      <c r="E96" s="35"/>
      <c r="F96" s="1"/>
    </row>
    <row r="97" customFormat="false" ht="15" hidden="false" customHeight="false" outlineLevel="0" collapsed="false">
      <c r="A97" s="1"/>
      <c r="B97" s="33"/>
      <c r="C97" s="34"/>
      <c r="D97" s="34"/>
      <c r="E97" s="35"/>
      <c r="F97" s="1"/>
    </row>
    <row r="98" customFormat="false" ht="15" hidden="false" customHeight="false" outlineLevel="0" collapsed="false">
      <c r="A98" s="1"/>
      <c r="B98" s="33"/>
      <c r="C98" s="34"/>
      <c r="D98" s="34"/>
      <c r="E98" s="35"/>
      <c r="F98" s="1"/>
    </row>
    <row r="99" customFormat="false" ht="15" hidden="false" customHeight="false" outlineLevel="0" collapsed="false">
      <c r="A99" s="1"/>
      <c r="B99" s="33"/>
      <c r="C99" s="34"/>
      <c r="D99" s="34"/>
      <c r="E99" s="35"/>
      <c r="F99" s="1"/>
    </row>
    <row r="100" customFormat="false" ht="15" hidden="false" customHeight="false" outlineLevel="0" collapsed="false">
      <c r="A100" s="1"/>
      <c r="B100" s="33"/>
      <c r="C100" s="34"/>
      <c r="D100" s="34"/>
      <c r="E100" s="35"/>
      <c r="F100" s="1"/>
    </row>
    <row r="101" customFormat="false" ht="15" hidden="false" customHeight="false" outlineLevel="0" collapsed="false">
      <c r="A101" s="1"/>
      <c r="B101" s="33"/>
      <c r="C101" s="34"/>
      <c r="D101" s="34"/>
      <c r="E101" s="35"/>
      <c r="F101" s="1"/>
    </row>
    <row r="102" customFormat="false" ht="15" hidden="false" customHeight="false" outlineLevel="0" collapsed="false">
      <c r="A102" s="1"/>
      <c r="B102" s="33"/>
      <c r="C102" s="34"/>
      <c r="D102" s="34"/>
      <c r="E102" s="35"/>
      <c r="F102" s="1"/>
    </row>
    <row r="103" customFormat="false" ht="15" hidden="false" customHeight="false" outlineLevel="0" collapsed="false">
      <c r="A103" s="1"/>
      <c r="B103" s="33"/>
      <c r="C103" s="34"/>
      <c r="D103" s="34"/>
      <c r="E103" s="35"/>
      <c r="F103" s="1"/>
    </row>
    <row r="104" customFormat="false" ht="15" hidden="false" customHeight="false" outlineLevel="0" collapsed="false">
      <c r="A104" s="1"/>
      <c r="B104" s="33"/>
      <c r="C104" s="34"/>
      <c r="D104" s="34"/>
      <c r="E104" s="35"/>
      <c r="F104" s="1"/>
    </row>
    <row r="105" customFormat="false" ht="15" hidden="false" customHeight="false" outlineLevel="0" collapsed="false">
      <c r="A105" s="1"/>
      <c r="B105" s="33"/>
      <c r="C105" s="34"/>
      <c r="D105" s="34"/>
      <c r="E105" s="35"/>
      <c r="F105" s="1"/>
    </row>
    <row r="106" customFormat="false" ht="15" hidden="false" customHeight="false" outlineLevel="0" collapsed="false">
      <c r="A106" s="1"/>
      <c r="B106" s="33"/>
      <c r="C106" s="34"/>
      <c r="D106" s="34"/>
      <c r="E106" s="35"/>
      <c r="F106" s="1"/>
    </row>
    <row r="107" customFormat="false" ht="15" hidden="false" customHeight="false" outlineLevel="0" collapsed="false">
      <c r="A107" s="1"/>
      <c r="B107" s="33"/>
      <c r="C107" s="34"/>
      <c r="D107" s="34"/>
      <c r="E107" s="35"/>
      <c r="F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</row>
    <row r="109" customFormat="false" ht="15" hidden="false" customHeight="false" outlineLevel="0" collapsed="false">
      <c r="A109" s="1"/>
      <c r="B109" s="11" t="s">
        <v>69</v>
      </c>
      <c r="C109" s="1"/>
      <c r="D109" s="1"/>
      <c r="E109" s="1"/>
      <c r="F109" s="1"/>
    </row>
  </sheetData>
  <dataValidations count="1">
    <dataValidation allowBlank="true" error="That doesn't look like a date. Double-click the box to pick one from the calendar." errorStyle="stop" operator="greaterThan" showDropDown="false" showErrorMessage="true" showInputMessage="false" sqref="B8:B107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BBBBB"/>
    <pageSetUpPr fitToPage="false"/>
  </sheetPr>
  <dimension ref="A1:G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39.75" hidden="false" customHeight="true" outlineLevel="0" collapsed="false">
      <c r="A2" s="1"/>
      <c r="B2" s="2" t="s">
        <v>39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3" t="s">
        <v>70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1" t="s">
        <v>61</v>
      </c>
      <c r="C4" s="1"/>
      <c r="D4" s="1"/>
      <c r="E4" s="1"/>
      <c r="F4" s="1"/>
      <c r="G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</row>
    <row r="6" customFormat="false" ht="27.75" hidden="false" customHeight="true" outlineLevel="0" collapsed="false">
      <c r="A6" s="1"/>
      <c r="B6" s="31" t="s">
        <v>71</v>
      </c>
      <c r="C6" s="31" t="s">
        <v>72</v>
      </c>
      <c r="D6" s="31" t="s">
        <v>73</v>
      </c>
      <c r="E6" s="31" t="s">
        <v>74</v>
      </c>
      <c r="F6" s="31" t="s">
        <v>75</v>
      </c>
      <c r="G6" s="1"/>
    </row>
    <row r="7" customFormat="false" ht="15" hidden="false" customHeight="false" outlineLevel="0" collapsed="false">
      <c r="A7" s="1"/>
      <c r="B7" s="32" t="s">
        <v>76</v>
      </c>
      <c r="C7" s="32" t="s">
        <v>77</v>
      </c>
      <c r="D7" s="32" t="s">
        <v>78</v>
      </c>
      <c r="E7" s="32" t="s">
        <v>79</v>
      </c>
      <c r="F7" s="1"/>
      <c r="G7" s="1"/>
    </row>
    <row r="8" customFormat="false" ht="15" hidden="false" customHeight="false" outlineLevel="0" collapsed="false">
      <c r="A8" s="1"/>
      <c r="B8" s="35"/>
      <c r="C8" s="34"/>
      <c r="D8" s="33"/>
      <c r="E8" s="33"/>
      <c r="F8" s="36" t="str">
        <f aca="true">IF(C8="","",IF(E8&lt;&gt;"","paid ✓ — nice",IF(D8="","waiting",IF(D8&lt;TODAY(),"overdue "&amp;(TODAY()-D8)&amp;" days — chase gently","due in "&amp;(D8-TODAY())&amp;" days"))))</f>
        <v/>
      </c>
      <c r="G8" s="1"/>
    </row>
    <row r="9" customFormat="false" ht="15" hidden="false" customHeight="false" outlineLevel="0" collapsed="false">
      <c r="A9" s="1"/>
      <c r="B9" s="35"/>
      <c r="C9" s="34"/>
      <c r="D9" s="33"/>
      <c r="E9" s="33"/>
      <c r="F9" s="36" t="str">
        <f aca="true">IF(C9="","",IF(E9&lt;&gt;"","paid ✓ — nice",IF(D9="","waiting",IF(D9&lt;TODAY(),"overdue "&amp;(TODAY()-D9)&amp;" days — chase gently","due in "&amp;(D9-TODAY())&amp;" days"))))</f>
        <v/>
      </c>
      <c r="G9" s="1"/>
    </row>
    <row r="10" customFormat="false" ht="15" hidden="false" customHeight="false" outlineLevel="0" collapsed="false">
      <c r="A10" s="1"/>
      <c r="B10" s="35"/>
      <c r="C10" s="34"/>
      <c r="D10" s="33"/>
      <c r="E10" s="33"/>
      <c r="F10" s="36" t="str">
        <f aca="true">IF(C10="","",IF(E10&lt;&gt;"","paid ✓ — nice",IF(D10="","waiting",IF(D10&lt;TODAY(),"overdue "&amp;(TODAY()-D10)&amp;" days — chase gently","due in "&amp;(D10-TODAY())&amp;" days"))))</f>
        <v/>
      </c>
      <c r="G10" s="1"/>
    </row>
    <row r="11" customFormat="false" ht="15" hidden="false" customHeight="false" outlineLevel="0" collapsed="false">
      <c r="A11" s="1"/>
      <c r="B11" s="35"/>
      <c r="C11" s="34"/>
      <c r="D11" s="33"/>
      <c r="E11" s="33"/>
      <c r="F11" s="36" t="str">
        <f aca="true">IF(C11="","",IF(E11&lt;&gt;"","paid ✓ — nice",IF(D11="","waiting",IF(D11&lt;TODAY(),"overdue "&amp;(TODAY()-D11)&amp;" days — chase gently","due in "&amp;(D11-TODAY())&amp;" days"))))</f>
        <v/>
      </c>
      <c r="G11" s="1"/>
    </row>
    <row r="12" customFormat="false" ht="15" hidden="false" customHeight="false" outlineLevel="0" collapsed="false">
      <c r="A12" s="1"/>
      <c r="B12" s="35"/>
      <c r="C12" s="34"/>
      <c r="D12" s="33"/>
      <c r="E12" s="33"/>
      <c r="F12" s="36" t="str">
        <f aca="true">IF(C12="","",IF(E12&lt;&gt;"","paid ✓ — nice",IF(D12="","waiting",IF(D12&lt;TODAY(),"overdue "&amp;(TODAY()-D12)&amp;" days — chase gently","due in "&amp;(D12-TODAY())&amp;" days"))))</f>
        <v/>
      </c>
      <c r="G12" s="1"/>
    </row>
    <row r="13" customFormat="false" ht="15" hidden="false" customHeight="false" outlineLevel="0" collapsed="false">
      <c r="A13" s="1"/>
      <c r="B13" s="35"/>
      <c r="C13" s="34"/>
      <c r="D13" s="33"/>
      <c r="E13" s="33"/>
      <c r="F13" s="36" t="str">
        <f aca="true">IF(C13="","",IF(E13&lt;&gt;"","paid ✓ — nice",IF(D13="","waiting",IF(D13&lt;TODAY(),"overdue "&amp;(TODAY()-D13)&amp;" days — chase gently","due in "&amp;(D13-TODAY())&amp;" days"))))</f>
        <v/>
      </c>
      <c r="G13" s="1"/>
    </row>
    <row r="14" customFormat="false" ht="15" hidden="false" customHeight="false" outlineLevel="0" collapsed="false">
      <c r="A14" s="1"/>
      <c r="B14" s="35"/>
      <c r="C14" s="34"/>
      <c r="D14" s="33"/>
      <c r="E14" s="33"/>
      <c r="F14" s="36" t="str">
        <f aca="true">IF(C14="","",IF(E14&lt;&gt;"","paid ✓ — nice",IF(D14="","waiting",IF(D14&lt;TODAY(),"overdue "&amp;(TODAY()-D14)&amp;" days — chase gently","due in "&amp;(D14-TODAY())&amp;" days"))))</f>
        <v/>
      </c>
      <c r="G14" s="1"/>
    </row>
    <row r="15" customFormat="false" ht="15" hidden="false" customHeight="false" outlineLevel="0" collapsed="false">
      <c r="A15" s="1"/>
      <c r="B15" s="35"/>
      <c r="C15" s="34"/>
      <c r="D15" s="33"/>
      <c r="E15" s="33"/>
      <c r="F15" s="36" t="str">
        <f aca="true">IF(C15="","",IF(E15&lt;&gt;"","paid ✓ — nice",IF(D15="","waiting",IF(D15&lt;TODAY(),"overdue "&amp;(TODAY()-D15)&amp;" days — chase gently","due in "&amp;(D15-TODAY())&amp;" days"))))</f>
        <v/>
      </c>
      <c r="G15" s="1"/>
    </row>
    <row r="16" customFormat="false" ht="15" hidden="false" customHeight="false" outlineLevel="0" collapsed="false">
      <c r="A16" s="1"/>
      <c r="B16" s="35"/>
      <c r="C16" s="34"/>
      <c r="D16" s="33"/>
      <c r="E16" s="33"/>
      <c r="F16" s="36" t="str">
        <f aca="true">IF(C16="","",IF(E16&lt;&gt;"","paid ✓ — nice",IF(D16="","waiting",IF(D16&lt;TODAY(),"overdue "&amp;(TODAY()-D16)&amp;" days — chase gently","due in "&amp;(D16-TODAY())&amp;" days"))))</f>
        <v/>
      </c>
      <c r="G16" s="1"/>
    </row>
    <row r="17" customFormat="false" ht="15" hidden="false" customHeight="false" outlineLevel="0" collapsed="false">
      <c r="A17" s="1"/>
      <c r="B17" s="35"/>
      <c r="C17" s="34"/>
      <c r="D17" s="33"/>
      <c r="E17" s="33"/>
      <c r="F17" s="36" t="str">
        <f aca="true">IF(C17="","",IF(E17&lt;&gt;"","paid ✓ — nice",IF(D17="","waiting",IF(D17&lt;TODAY(),"overdue "&amp;(TODAY()-D17)&amp;" days — chase gently","due in "&amp;(D17-TODAY())&amp;" days"))))</f>
        <v/>
      </c>
      <c r="G17" s="1"/>
    </row>
    <row r="18" customFormat="false" ht="15" hidden="false" customHeight="false" outlineLevel="0" collapsed="false">
      <c r="A18" s="1"/>
      <c r="B18" s="35"/>
      <c r="C18" s="34"/>
      <c r="D18" s="33"/>
      <c r="E18" s="33"/>
      <c r="F18" s="36" t="str">
        <f aca="true">IF(C18="","",IF(E18&lt;&gt;"","paid ✓ — nice",IF(D18="","waiting",IF(D18&lt;TODAY(),"overdue "&amp;(TODAY()-D18)&amp;" days — chase gently","due in "&amp;(D18-TODAY())&amp;" days"))))</f>
        <v/>
      </c>
      <c r="G18" s="1"/>
    </row>
    <row r="19" customFormat="false" ht="15" hidden="false" customHeight="false" outlineLevel="0" collapsed="false">
      <c r="A19" s="1"/>
      <c r="B19" s="35"/>
      <c r="C19" s="34"/>
      <c r="D19" s="33"/>
      <c r="E19" s="33"/>
      <c r="F19" s="36" t="str">
        <f aca="true">IF(C19="","",IF(E19&lt;&gt;"","paid ✓ — nice",IF(D19="","waiting",IF(D19&lt;TODAY(),"overdue "&amp;(TODAY()-D19)&amp;" days — chase gently","due in "&amp;(D19-TODAY())&amp;" days"))))</f>
        <v/>
      </c>
      <c r="G19" s="1"/>
    </row>
    <row r="20" customFormat="false" ht="15" hidden="false" customHeight="false" outlineLevel="0" collapsed="false">
      <c r="A20" s="1"/>
      <c r="B20" s="35"/>
      <c r="C20" s="34"/>
      <c r="D20" s="33"/>
      <c r="E20" s="33"/>
      <c r="F20" s="36" t="str">
        <f aca="true">IF(C20="","",IF(E20&lt;&gt;"","paid ✓ — nice",IF(D20="","waiting",IF(D20&lt;TODAY(),"overdue "&amp;(TODAY()-D20)&amp;" days — chase gently","due in "&amp;(D20-TODAY())&amp;" days"))))</f>
        <v/>
      </c>
      <c r="G20" s="1"/>
    </row>
    <row r="21" customFormat="false" ht="15" hidden="false" customHeight="false" outlineLevel="0" collapsed="false">
      <c r="A21" s="1"/>
      <c r="B21" s="35"/>
      <c r="C21" s="34"/>
      <c r="D21" s="33"/>
      <c r="E21" s="33"/>
      <c r="F21" s="36" t="str">
        <f aca="true">IF(C21="","",IF(E21&lt;&gt;"","paid ✓ — nice",IF(D21="","waiting",IF(D21&lt;TODAY(),"overdue "&amp;(TODAY()-D21)&amp;" days — chase gently","due in "&amp;(D21-TODAY())&amp;" days"))))</f>
        <v/>
      </c>
      <c r="G21" s="1"/>
    </row>
    <row r="22" customFormat="false" ht="15" hidden="false" customHeight="false" outlineLevel="0" collapsed="false">
      <c r="A22" s="1"/>
      <c r="B22" s="35"/>
      <c r="C22" s="34"/>
      <c r="D22" s="33"/>
      <c r="E22" s="33"/>
      <c r="F22" s="36" t="str">
        <f aca="true">IF(C22="","",IF(E22&lt;&gt;"","paid ✓ — nice",IF(D22="","waiting",IF(D22&lt;TODAY(),"overdue "&amp;(TODAY()-D22)&amp;" days — chase gently","due in "&amp;(D22-TODAY())&amp;" days"))))</f>
        <v/>
      </c>
      <c r="G22" s="1"/>
    </row>
    <row r="23" customFormat="false" ht="15" hidden="false" customHeight="false" outlineLevel="0" collapsed="false">
      <c r="A23" s="1"/>
      <c r="B23" s="35"/>
      <c r="C23" s="34"/>
      <c r="D23" s="33"/>
      <c r="E23" s="33"/>
      <c r="F23" s="36" t="str">
        <f aca="true">IF(C23="","",IF(E23&lt;&gt;"","paid ✓ — nice",IF(D23="","waiting",IF(D23&lt;TODAY(),"overdue "&amp;(TODAY()-D23)&amp;" days — chase gently","due in "&amp;(D23-TODAY())&amp;" days"))))</f>
        <v/>
      </c>
      <c r="G23" s="1"/>
    </row>
    <row r="24" customFormat="false" ht="15" hidden="false" customHeight="false" outlineLevel="0" collapsed="false">
      <c r="A24" s="1"/>
      <c r="B24" s="35"/>
      <c r="C24" s="34"/>
      <c r="D24" s="33"/>
      <c r="E24" s="33"/>
      <c r="F24" s="36" t="str">
        <f aca="true">IF(C24="","",IF(E24&lt;&gt;"","paid ✓ — nice",IF(D24="","waiting",IF(D24&lt;TODAY(),"overdue "&amp;(TODAY()-D24)&amp;" days — chase gently","due in "&amp;(D24-TODAY())&amp;" days"))))</f>
        <v/>
      </c>
      <c r="G24" s="1"/>
    </row>
    <row r="25" customFormat="false" ht="15" hidden="false" customHeight="false" outlineLevel="0" collapsed="false">
      <c r="A25" s="1"/>
      <c r="B25" s="35"/>
      <c r="C25" s="34"/>
      <c r="D25" s="33"/>
      <c r="E25" s="33"/>
      <c r="F25" s="36" t="str">
        <f aca="true">IF(C25="","",IF(E25&lt;&gt;"","paid ✓ — nice",IF(D25="","waiting",IF(D25&lt;TODAY(),"overdue "&amp;(TODAY()-D25)&amp;" days — chase gently","due in "&amp;(D25-TODAY())&amp;" days"))))</f>
        <v/>
      </c>
      <c r="G25" s="1"/>
    </row>
    <row r="26" customFormat="false" ht="15" hidden="false" customHeight="false" outlineLevel="0" collapsed="false">
      <c r="A26" s="1"/>
      <c r="B26" s="35"/>
      <c r="C26" s="34"/>
      <c r="D26" s="33"/>
      <c r="E26" s="33"/>
      <c r="F26" s="36" t="str">
        <f aca="true">IF(C26="","",IF(E26&lt;&gt;"","paid ✓ — nice",IF(D26="","waiting",IF(D26&lt;TODAY(),"overdue "&amp;(TODAY()-D26)&amp;" days — chase gently","due in "&amp;(D26-TODAY())&amp;" days"))))</f>
        <v/>
      </c>
      <c r="G26" s="1"/>
    </row>
    <row r="27" customFormat="false" ht="15" hidden="false" customHeight="false" outlineLevel="0" collapsed="false">
      <c r="A27" s="1"/>
      <c r="B27" s="35"/>
      <c r="C27" s="34"/>
      <c r="D27" s="33"/>
      <c r="E27" s="33"/>
      <c r="F27" s="36" t="str">
        <f aca="true">IF(C27="","",IF(E27&lt;&gt;"","paid ✓ — nice",IF(D27="","waiting",IF(D27&lt;TODAY(),"overdue "&amp;(TODAY()-D27)&amp;" days — chase gently","due in "&amp;(D27-TODAY())&amp;" days"))))</f>
        <v/>
      </c>
      <c r="G27" s="1"/>
    </row>
    <row r="28" customFormat="false" ht="15" hidden="false" customHeight="false" outlineLevel="0" collapsed="false">
      <c r="A28" s="1"/>
      <c r="B28" s="35"/>
      <c r="C28" s="34"/>
      <c r="D28" s="33"/>
      <c r="E28" s="33"/>
      <c r="F28" s="36" t="str">
        <f aca="true">IF(C28="","",IF(E28&lt;&gt;"","paid ✓ — nice",IF(D28="","waiting",IF(D28&lt;TODAY(),"overdue "&amp;(TODAY()-D28)&amp;" days — chase gently","due in "&amp;(D28-TODAY())&amp;" days"))))</f>
        <v/>
      </c>
      <c r="G28" s="1"/>
    </row>
    <row r="29" customFormat="false" ht="15" hidden="false" customHeight="false" outlineLevel="0" collapsed="false">
      <c r="A29" s="1"/>
      <c r="B29" s="35"/>
      <c r="C29" s="34"/>
      <c r="D29" s="33"/>
      <c r="E29" s="33"/>
      <c r="F29" s="36" t="str">
        <f aca="true">IF(C29="","",IF(E29&lt;&gt;"","paid ✓ — nice",IF(D29="","waiting",IF(D29&lt;TODAY(),"overdue "&amp;(TODAY()-D29)&amp;" days — chase gently","due in "&amp;(D29-TODAY())&amp;" days"))))</f>
        <v/>
      </c>
      <c r="G29" s="1"/>
    </row>
    <row r="30" customFormat="false" ht="15" hidden="false" customHeight="false" outlineLevel="0" collapsed="false">
      <c r="A30" s="1"/>
      <c r="B30" s="35"/>
      <c r="C30" s="34"/>
      <c r="D30" s="33"/>
      <c r="E30" s="33"/>
      <c r="F30" s="36" t="str">
        <f aca="true">IF(C30="","",IF(E30&lt;&gt;"","paid ✓ — nice",IF(D30="","waiting",IF(D30&lt;TODAY(),"overdue "&amp;(TODAY()-D30)&amp;" days — chase gently","due in "&amp;(D30-TODAY())&amp;" days"))))</f>
        <v/>
      </c>
      <c r="G30" s="1"/>
    </row>
    <row r="31" customFormat="false" ht="15" hidden="false" customHeight="false" outlineLevel="0" collapsed="false">
      <c r="A31" s="1"/>
      <c r="B31" s="35"/>
      <c r="C31" s="34"/>
      <c r="D31" s="33"/>
      <c r="E31" s="33"/>
      <c r="F31" s="36" t="str">
        <f aca="true">IF(C31="","",IF(E31&lt;&gt;"","paid ✓ — nice",IF(D31="","waiting",IF(D31&lt;TODAY(),"overdue "&amp;(TODAY()-D31)&amp;" days — chase gently","due in "&amp;(D31-TODAY())&amp;" days"))))</f>
        <v/>
      </c>
      <c r="G31" s="1"/>
    </row>
    <row r="32" customFormat="false" ht="15" hidden="false" customHeight="false" outlineLevel="0" collapsed="false">
      <c r="A32" s="1"/>
      <c r="B32" s="35"/>
      <c r="C32" s="34"/>
      <c r="D32" s="33"/>
      <c r="E32" s="33"/>
      <c r="F32" s="36" t="str">
        <f aca="true">IF(C32="","",IF(E32&lt;&gt;"","paid ✓ — nice",IF(D32="","waiting",IF(D32&lt;TODAY(),"overdue "&amp;(TODAY()-D32)&amp;" days — chase gently","due in "&amp;(D32-TODAY())&amp;" days"))))</f>
        <v/>
      </c>
      <c r="G32" s="1"/>
    </row>
    <row r="33" customFormat="false" ht="15" hidden="false" customHeight="false" outlineLevel="0" collapsed="false">
      <c r="A33" s="1"/>
      <c r="B33" s="35"/>
      <c r="C33" s="34"/>
      <c r="D33" s="33"/>
      <c r="E33" s="33"/>
      <c r="F33" s="36" t="str">
        <f aca="true">IF(C33="","",IF(E33&lt;&gt;"","paid ✓ — nice",IF(D33="","waiting",IF(D33&lt;TODAY(),"overdue "&amp;(TODAY()-D33)&amp;" days — chase gently","due in "&amp;(D33-TODAY())&amp;" days"))))</f>
        <v/>
      </c>
      <c r="G33" s="1"/>
    </row>
    <row r="34" customFormat="false" ht="15" hidden="false" customHeight="false" outlineLevel="0" collapsed="false">
      <c r="A34" s="1"/>
      <c r="B34" s="35"/>
      <c r="C34" s="34"/>
      <c r="D34" s="33"/>
      <c r="E34" s="33"/>
      <c r="F34" s="36" t="str">
        <f aca="true">IF(C34="","",IF(E34&lt;&gt;"","paid ✓ — nice",IF(D34="","waiting",IF(D34&lt;TODAY(),"overdue "&amp;(TODAY()-D34)&amp;" days — chase gently","due in "&amp;(D34-TODAY())&amp;" days"))))</f>
        <v/>
      </c>
      <c r="G34" s="1"/>
    </row>
    <row r="35" customFormat="false" ht="15" hidden="false" customHeight="false" outlineLevel="0" collapsed="false">
      <c r="A35" s="1"/>
      <c r="B35" s="35"/>
      <c r="C35" s="34"/>
      <c r="D35" s="33"/>
      <c r="E35" s="33"/>
      <c r="F35" s="36" t="str">
        <f aca="true">IF(C35="","",IF(E35&lt;&gt;"","paid ✓ — nice",IF(D35="","waiting",IF(D35&lt;TODAY(),"overdue "&amp;(TODAY()-D35)&amp;" days — chase gently","due in "&amp;(D35-TODAY())&amp;" days"))))</f>
        <v/>
      </c>
      <c r="G35" s="1"/>
    </row>
    <row r="36" customFormat="false" ht="15" hidden="false" customHeight="false" outlineLevel="0" collapsed="false">
      <c r="A36" s="1"/>
      <c r="B36" s="35"/>
      <c r="C36" s="34"/>
      <c r="D36" s="33"/>
      <c r="E36" s="33"/>
      <c r="F36" s="36" t="str">
        <f aca="true">IF(C36="","",IF(E36&lt;&gt;"","paid ✓ — nice",IF(D36="","waiting",IF(D36&lt;TODAY(),"overdue "&amp;(TODAY()-D36)&amp;" days — chase gently","due in "&amp;(D36-TODAY())&amp;" days"))))</f>
        <v/>
      </c>
      <c r="G36" s="1"/>
    </row>
    <row r="37" customFormat="false" ht="15" hidden="false" customHeight="false" outlineLevel="0" collapsed="false">
      <c r="A37" s="1"/>
      <c r="B37" s="35"/>
      <c r="C37" s="34"/>
      <c r="D37" s="33"/>
      <c r="E37" s="33"/>
      <c r="F37" s="36" t="str">
        <f aca="true">IF(C37="","",IF(E37&lt;&gt;"","paid ✓ — nice",IF(D37="","waiting",IF(D37&lt;TODAY(),"overdue "&amp;(TODAY()-D37)&amp;" days — chase gently","due in "&amp;(D37-TODAY())&amp;" days"))))</f>
        <v/>
      </c>
      <c r="G37" s="1"/>
    </row>
    <row r="38" customFormat="false" ht="15" hidden="false" customHeight="false" outlineLevel="0" collapsed="false">
      <c r="A38" s="1"/>
      <c r="B38" s="35"/>
      <c r="C38" s="34"/>
      <c r="D38" s="33"/>
      <c r="E38" s="33"/>
      <c r="F38" s="36" t="str">
        <f aca="true">IF(C38="","",IF(E38&lt;&gt;"","paid ✓ — nice",IF(D38="","waiting",IF(D38&lt;TODAY(),"overdue "&amp;(TODAY()-D38)&amp;" days — chase gently","due in "&amp;(D38-TODAY())&amp;" days"))))</f>
        <v/>
      </c>
      <c r="G38" s="1"/>
    </row>
    <row r="39" customFormat="false" ht="15" hidden="false" customHeight="false" outlineLevel="0" collapsed="false">
      <c r="A39" s="1"/>
      <c r="B39" s="35"/>
      <c r="C39" s="34"/>
      <c r="D39" s="33"/>
      <c r="E39" s="33"/>
      <c r="F39" s="36" t="str">
        <f aca="true">IF(C39="","",IF(E39&lt;&gt;"","paid ✓ — nice",IF(D39="","waiting",IF(D39&lt;TODAY(),"overdue "&amp;(TODAY()-D39)&amp;" days — chase gently","due in "&amp;(D39-TODAY())&amp;" days"))))</f>
        <v/>
      </c>
      <c r="G39" s="1"/>
    </row>
    <row r="40" customFormat="false" ht="15" hidden="false" customHeight="false" outlineLevel="0" collapsed="false">
      <c r="A40" s="1"/>
      <c r="B40" s="35"/>
      <c r="C40" s="34"/>
      <c r="D40" s="33"/>
      <c r="E40" s="33"/>
      <c r="F40" s="36" t="str">
        <f aca="true">IF(C40="","",IF(E40&lt;&gt;"","paid ✓ — nice",IF(D40="","waiting",IF(D40&lt;TODAY(),"overdue "&amp;(TODAY()-D40)&amp;" days — chase gently","due in "&amp;(D40-TODAY())&amp;" days"))))</f>
        <v/>
      </c>
      <c r="G40" s="1"/>
    </row>
    <row r="41" customFormat="false" ht="15" hidden="false" customHeight="false" outlineLevel="0" collapsed="false">
      <c r="A41" s="1"/>
      <c r="B41" s="35"/>
      <c r="C41" s="34"/>
      <c r="D41" s="33"/>
      <c r="E41" s="33"/>
      <c r="F41" s="36" t="str">
        <f aca="true">IF(C41="","",IF(E41&lt;&gt;"","paid ✓ — nice",IF(D41="","waiting",IF(D41&lt;TODAY(),"overdue "&amp;(TODAY()-D41)&amp;" days — chase gently","due in "&amp;(D41-TODAY())&amp;" days"))))</f>
        <v/>
      </c>
      <c r="G41" s="1"/>
    </row>
    <row r="42" customFormat="false" ht="15" hidden="false" customHeight="false" outlineLevel="0" collapsed="false">
      <c r="A42" s="1"/>
      <c r="B42" s="35"/>
      <c r="C42" s="34"/>
      <c r="D42" s="33"/>
      <c r="E42" s="33"/>
      <c r="F42" s="36" t="str">
        <f aca="true">IF(C42="","",IF(E42&lt;&gt;"","paid ✓ — nice",IF(D42="","waiting",IF(D42&lt;TODAY(),"overdue "&amp;(TODAY()-D42)&amp;" days — chase gently","due in "&amp;(D42-TODAY())&amp;" days"))))</f>
        <v/>
      </c>
      <c r="G42" s="1"/>
    </row>
    <row r="43" customFormat="false" ht="15" hidden="false" customHeight="false" outlineLevel="0" collapsed="false">
      <c r="A43" s="1"/>
      <c r="B43" s="35"/>
      <c r="C43" s="34"/>
      <c r="D43" s="33"/>
      <c r="E43" s="33"/>
      <c r="F43" s="36" t="str">
        <f aca="true">IF(C43="","",IF(E43&lt;&gt;"","paid ✓ — nice",IF(D43="","waiting",IF(D43&lt;TODAY(),"overdue "&amp;(TODAY()-D43)&amp;" days — chase gently","due in "&amp;(D43-TODAY())&amp;" days"))))</f>
        <v/>
      </c>
      <c r="G43" s="1"/>
    </row>
    <row r="44" customFormat="false" ht="15" hidden="false" customHeight="false" outlineLevel="0" collapsed="false">
      <c r="A44" s="1"/>
      <c r="B44" s="35"/>
      <c r="C44" s="34"/>
      <c r="D44" s="33"/>
      <c r="E44" s="33"/>
      <c r="F44" s="36" t="str">
        <f aca="true">IF(C44="","",IF(E44&lt;&gt;"","paid ✓ — nice",IF(D44="","waiting",IF(D44&lt;TODAY(),"overdue "&amp;(TODAY()-D44)&amp;" days — chase gently","due in "&amp;(D44-TODAY())&amp;" days"))))</f>
        <v/>
      </c>
      <c r="G44" s="1"/>
    </row>
    <row r="45" customFormat="false" ht="15" hidden="false" customHeight="false" outlineLevel="0" collapsed="false">
      <c r="A45" s="1"/>
      <c r="B45" s="35"/>
      <c r="C45" s="34"/>
      <c r="D45" s="33"/>
      <c r="E45" s="33"/>
      <c r="F45" s="36" t="str">
        <f aca="true">IF(C45="","",IF(E45&lt;&gt;"","paid ✓ — nice",IF(D45="","waiting",IF(D45&lt;TODAY(),"overdue "&amp;(TODAY()-D45)&amp;" days — chase gently","due in "&amp;(D45-TODAY())&amp;" days"))))</f>
        <v/>
      </c>
      <c r="G45" s="1"/>
    </row>
    <row r="46" customFormat="false" ht="15" hidden="false" customHeight="false" outlineLevel="0" collapsed="false">
      <c r="A46" s="1"/>
      <c r="B46" s="35"/>
      <c r="C46" s="34"/>
      <c r="D46" s="33"/>
      <c r="E46" s="33"/>
      <c r="F46" s="36" t="str">
        <f aca="true">IF(C46="","",IF(E46&lt;&gt;"","paid ✓ — nice",IF(D46="","waiting",IF(D46&lt;TODAY(),"overdue "&amp;(TODAY()-D46)&amp;" days — chase gently","due in "&amp;(D46-TODAY())&amp;" days"))))</f>
        <v/>
      </c>
      <c r="G46" s="1"/>
    </row>
    <row r="47" customFormat="false" ht="15" hidden="false" customHeight="false" outlineLevel="0" collapsed="false">
      <c r="A47" s="1"/>
      <c r="B47" s="35"/>
      <c r="C47" s="34"/>
      <c r="D47" s="33"/>
      <c r="E47" s="33"/>
      <c r="F47" s="36" t="str">
        <f aca="true">IF(C47="","",IF(E47&lt;&gt;"","paid ✓ — nice",IF(D47="","waiting",IF(D47&lt;TODAY(),"overdue "&amp;(TODAY()-D47)&amp;" days — chase gently","due in "&amp;(D47-TODAY())&amp;" days"))))</f>
        <v/>
      </c>
      <c r="G47" s="1"/>
    </row>
    <row r="48" customFormat="false" ht="15" hidden="false" customHeight="false" outlineLevel="0" collapsed="false">
      <c r="A48" s="1"/>
      <c r="B48" s="35"/>
      <c r="C48" s="34"/>
      <c r="D48" s="33"/>
      <c r="E48" s="33"/>
      <c r="F48" s="36" t="str">
        <f aca="true">IF(C48="","",IF(E48&lt;&gt;"","paid ✓ — nice",IF(D48="","waiting",IF(D48&lt;TODAY(),"overdue "&amp;(TODAY()-D48)&amp;" days — chase gently","due in "&amp;(D48-TODAY())&amp;" days"))))</f>
        <v/>
      </c>
      <c r="G48" s="1"/>
    </row>
    <row r="49" customFormat="false" ht="15" hidden="false" customHeight="false" outlineLevel="0" collapsed="false">
      <c r="A49" s="1"/>
      <c r="B49" s="35"/>
      <c r="C49" s="34"/>
      <c r="D49" s="33"/>
      <c r="E49" s="33"/>
      <c r="F49" s="36" t="str">
        <f aca="true">IF(C49="","",IF(E49&lt;&gt;"","paid ✓ — nice",IF(D49="","waiting",IF(D49&lt;TODAY(),"overdue "&amp;(TODAY()-D49)&amp;" days — chase gently","due in "&amp;(D49-TODAY())&amp;" days"))))</f>
        <v/>
      </c>
      <c r="G49" s="1"/>
    </row>
    <row r="50" customFormat="false" ht="15" hidden="false" customHeight="false" outlineLevel="0" collapsed="false">
      <c r="A50" s="1"/>
      <c r="B50" s="35"/>
      <c r="C50" s="34"/>
      <c r="D50" s="33"/>
      <c r="E50" s="33"/>
      <c r="F50" s="36" t="str">
        <f aca="true">IF(C50="","",IF(E50&lt;&gt;"","paid ✓ — nice",IF(D50="","waiting",IF(D50&lt;TODAY(),"overdue "&amp;(TODAY()-D50)&amp;" days — chase gently","due in "&amp;(D50-TODAY())&amp;" days"))))</f>
        <v/>
      </c>
      <c r="G50" s="1"/>
    </row>
    <row r="51" customFormat="false" ht="15" hidden="false" customHeight="false" outlineLevel="0" collapsed="false">
      <c r="A51" s="1"/>
      <c r="B51" s="35"/>
      <c r="C51" s="34"/>
      <c r="D51" s="33"/>
      <c r="E51" s="33"/>
      <c r="F51" s="36" t="str">
        <f aca="true">IF(C51="","",IF(E51&lt;&gt;"","paid ✓ — nice",IF(D51="","waiting",IF(D51&lt;TODAY(),"overdue "&amp;(TODAY()-D51)&amp;" days — chase gently","due in "&amp;(D51-TODAY())&amp;" days"))))</f>
        <v/>
      </c>
      <c r="G51" s="1"/>
    </row>
    <row r="52" customFormat="false" ht="15" hidden="false" customHeight="false" outlineLevel="0" collapsed="false">
      <c r="A52" s="1"/>
      <c r="B52" s="35"/>
      <c r="C52" s="34"/>
      <c r="D52" s="33"/>
      <c r="E52" s="33"/>
      <c r="F52" s="36" t="str">
        <f aca="true">IF(C52="","",IF(E52&lt;&gt;"","paid ✓ — nice",IF(D52="","waiting",IF(D52&lt;TODAY(),"overdue "&amp;(TODAY()-D52)&amp;" days — chase gently","due in "&amp;(D52-TODAY())&amp;" days"))))</f>
        <v/>
      </c>
      <c r="G52" s="1"/>
    </row>
    <row r="53" customFormat="false" ht="15" hidden="false" customHeight="false" outlineLevel="0" collapsed="false">
      <c r="A53" s="1"/>
      <c r="B53" s="35"/>
      <c r="C53" s="34"/>
      <c r="D53" s="33"/>
      <c r="E53" s="33"/>
      <c r="F53" s="36" t="str">
        <f aca="true">IF(C53="","",IF(E53&lt;&gt;"","paid ✓ — nice",IF(D53="","waiting",IF(D53&lt;TODAY(),"overdue "&amp;(TODAY()-D53)&amp;" days — chase gently","due in "&amp;(D53-TODAY())&amp;" days"))))</f>
        <v/>
      </c>
      <c r="G53" s="1"/>
    </row>
    <row r="54" customFormat="false" ht="15" hidden="false" customHeight="false" outlineLevel="0" collapsed="false">
      <c r="A54" s="1"/>
      <c r="B54" s="35"/>
      <c r="C54" s="34"/>
      <c r="D54" s="33"/>
      <c r="E54" s="33"/>
      <c r="F54" s="36" t="str">
        <f aca="true">IF(C54="","",IF(E54&lt;&gt;"","paid ✓ — nice",IF(D54="","waiting",IF(D54&lt;TODAY(),"overdue "&amp;(TODAY()-D54)&amp;" days — chase gently","due in "&amp;(D54-TODAY())&amp;" days"))))</f>
        <v/>
      </c>
      <c r="G54" s="1"/>
    </row>
    <row r="55" customFormat="false" ht="15" hidden="false" customHeight="false" outlineLevel="0" collapsed="false">
      <c r="A55" s="1"/>
      <c r="B55" s="35"/>
      <c r="C55" s="34"/>
      <c r="D55" s="33"/>
      <c r="E55" s="33"/>
      <c r="F55" s="36" t="str">
        <f aca="true">IF(C55="","",IF(E55&lt;&gt;"","paid ✓ — nice",IF(D55="","waiting",IF(D55&lt;TODAY(),"overdue "&amp;(TODAY()-D55)&amp;" days — chase gently","due in "&amp;(D55-TODAY())&amp;" days"))))</f>
        <v/>
      </c>
      <c r="G55" s="1"/>
    </row>
    <row r="56" customFormat="false" ht="15" hidden="false" customHeight="false" outlineLevel="0" collapsed="false">
      <c r="A56" s="1"/>
      <c r="B56" s="35"/>
      <c r="C56" s="34"/>
      <c r="D56" s="33"/>
      <c r="E56" s="33"/>
      <c r="F56" s="36" t="str">
        <f aca="true">IF(C56="","",IF(E56&lt;&gt;"","paid ✓ — nice",IF(D56="","waiting",IF(D56&lt;TODAY(),"overdue "&amp;(TODAY()-D56)&amp;" days — chase gently","due in "&amp;(D56-TODAY())&amp;" days"))))</f>
        <v/>
      </c>
      <c r="G56" s="1"/>
    </row>
    <row r="57" customFormat="false" ht="15" hidden="false" customHeight="false" outlineLevel="0" collapsed="false">
      <c r="A57" s="1"/>
      <c r="B57" s="35"/>
      <c r="C57" s="34"/>
      <c r="D57" s="33"/>
      <c r="E57" s="33"/>
      <c r="F57" s="36" t="str">
        <f aca="true">IF(C57="","",IF(E57&lt;&gt;"","paid ✓ — nice",IF(D57="","waiting",IF(D57&lt;TODAY(),"overdue "&amp;(TODAY()-D57)&amp;" days — chase gently","due in "&amp;(D57-TODAY())&amp;" days"))))</f>
        <v/>
      </c>
      <c r="G57" s="1"/>
    </row>
    <row r="58" customFormat="false" ht="15" hidden="false" customHeight="false" outlineLevel="0" collapsed="false">
      <c r="A58" s="1"/>
      <c r="B58" s="35"/>
      <c r="C58" s="34"/>
      <c r="D58" s="33"/>
      <c r="E58" s="33"/>
      <c r="F58" s="36" t="str">
        <f aca="true">IF(C58="","",IF(E58&lt;&gt;"","paid ✓ — nice",IF(D58="","waiting",IF(D58&lt;TODAY(),"overdue "&amp;(TODAY()-D58)&amp;" days — chase gently","due in "&amp;(D58-TODAY())&amp;" days"))))</f>
        <v/>
      </c>
      <c r="G58" s="1"/>
    </row>
    <row r="59" customFormat="false" ht="15" hidden="false" customHeight="false" outlineLevel="0" collapsed="false">
      <c r="A59" s="1"/>
      <c r="B59" s="35"/>
      <c r="C59" s="34"/>
      <c r="D59" s="33"/>
      <c r="E59" s="33"/>
      <c r="F59" s="36" t="str">
        <f aca="true">IF(C59="","",IF(E59&lt;&gt;"","paid ✓ — nice",IF(D59="","waiting",IF(D59&lt;TODAY(),"overdue "&amp;(TODAY()-D59)&amp;" days — chase gently","due in "&amp;(D59-TODAY())&amp;" days"))))</f>
        <v/>
      </c>
      <c r="G59" s="1"/>
    </row>
    <row r="60" customFormat="false" ht="15" hidden="false" customHeight="false" outlineLevel="0" collapsed="false">
      <c r="A60" s="1"/>
      <c r="B60" s="35"/>
      <c r="C60" s="34"/>
      <c r="D60" s="33"/>
      <c r="E60" s="33"/>
      <c r="F60" s="36" t="str">
        <f aca="true">IF(C60="","",IF(E60&lt;&gt;"","paid ✓ — nice",IF(D60="","waiting",IF(D60&lt;TODAY(),"overdue "&amp;(TODAY()-D60)&amp;" days — chase gently","due in "&amp;(D60-TODAY())&amp;" days"))))</f>
        <v/>
      </c>
      <c r="G60" s="1"/>
    </row>
    <row r="61" customFormat="false" ht="15" hidden="false" customHeight="false" outlineLevel="0" collapsed="false">
      <c r="A61" s="1"/>
      <c r="B61" s="35"/>
      <c r="C61" s="34"/>
      <c r="D61" s="33"/>
      <c r="E61" s="33"/>
      <c r="F61" s="36" t="str">
        <f aca="true">IF(C61="","",IF(E61&lt;&gt;"","paid ✓ — nice",IF(D61="","waiting",IF(D61&lt;TODAY(),"overdue "&amp;(TODAY()-D61)&amp;" days — chase gently","due in "&amp;(D61-TODAY())&amp;" days"))))</f>
        <v/>
      </c>
      <c r="G61" s="1"/>
    </row>
    <row r="62" customFormat="false" ht="15" hidden="false" customHeight="false" outlineLevel="0" collapsed="false">
      <c r="A62" s="1"/>
      <c r="B62" s="35"/>
      <c r="C62" s="34"/>
      <c r="D62" s="33"/>
      <c r="E62" s="33"/>
      <c r="F62" s="36" t="str">
        <f aca="true">IF(C62="","",IF(E62&lt;&gt;"","paid ✓ — nice",IF(D62="","waiting",IF(D62&lt;TODAY(),"overdue "&amp;(TODAY()-D62)&amp;" days — chase gently","due in "&amp;(D62-TODAY())&amp;" days"))))</f>
        <v/>
      </c>
      <c r="G62" s="1"/>
    </row>
    <row r="63" customFormat="false" ht="15" hidden="false" customHeight="false" outlineLevel="0" collapsed="false">
      <c r="A63" s="1"/>
      <c r="B63" s="35"/>
      <c r="C63" s="34"/>
      <c r="D63" s="33"/>
      <c r="E63" s="33"/>
      <c r="F63" s="36" t="str">
        <f aca="true">IF(C63="","",IF(E63&lt;&gt;"","paid ✓ — nice",IF(D63="","waiting",IF(D63&lt;TODAY(),"overdue "&amp;(TODAY()-D63)&amp;" days — chase gently","due in "&amp;(D63-TODAY())&amp;" days"))))</f>
        <v/>
      </c>
      <c r="G63" s="1"/>
    </row>
    <row r="64" customFormat="false" ht="15" hidden="false" customHeight="false" outlineLevel="0" collapsed="false">
      <c r="A64" s="1"/>
      <c r="B64" s="35"/>
      <c r="C64" s="34"/>
      <c r="D64" s="33"/>
      <c r="E64" s="33"/>
      <c r="F64" s="36" t="str">
        <f aca="true">IF(C64="","",IF(E64&lt;&gt;"","paid ✓ — nice",IF(D64="","waiting",IF(D64&lt;TODAY(),"overdue "&amp;(TODAY()-D64)&amp;" days — chase gently","due in "&amp;(D64-TODAY())&amp;" days"))))</f>
        <v/>
      </c>
      <c r="G64" s="1"/>
    </row>
    <row r="65" customFormat="false" ht="15" hidden="false" customHeight="false" outlineLevel="0" collapsed="false">
      <c r="A65" s="1"/>
      <c r="B65" s="35"/>
      <c r="C65" s="34"/>
      <c r="D65" s="33"/>
      <c r="E65" s="33"/>
      <c r="F65" s="36" t="str">
        <f aca="true">IF(C65="","",IF(E65&lt;&gt;"","paid ✓ — nice",IF(D65="","waiting",IF(D65&lt;TODAY(),"overdue "&amp;(TODAY()-D65)&amp;" days — chase gently","due in "&amp;(D65-TODAY())&amp;" days"))))</f>
        <v/>
      </c>
      <c r="G65" s="1"/>
    </row>
    <row r="66" customFormat="false" ht="15" hidden="false" customHeight="false" outlineLevel="0" collapsed="false">
      <c r="A66" s="1"/>
      <c r="B66" s="35"/>
      <c r="C66" s="34"/>
      <c r="D66" s="33"/>
      <c r="E66" s="33"/>
      <c r="F66" s="36" t="str">
        <f aca="true">IF(C66="","",IF(E66&lt;&gt;"","paid ✓ — nice",IF(D66="","waiting",IF(D66&lt;TODAY(),"overdue "&amp;(TODAY()-D66)&amp;" days — chase gently","due in "&amp;(D66-TODAY())&amp;" days"))))</f>
        <v/>
      </c>
      <c r="G66" s="1"/>
    </row>
    <row r="67" customFormat="false" ht="15" hidden="false" customHeight="false" outlineLevel="0" collapsed="false">
      <c r="A67" s="1"/>
      <c r="B67" s="35"/>
      <c r="C67" s="34"/>
      <c r="D67" s="33"/>
      <c r="E67" s="33"/>
      <c r="F67" s="36" t="str">
        <f aca="true">IF(C67="","",IF(E67&lt;&gt;"","paid ✓ — nice",IF(D67="","waiting",IF(D67&lt;TODAY(),"overdue "&amp;(TODAY()-D67)&amp;" days — chase gently","due in "&amp;(D67-TODAY())&amp;" days"))))</f>
        <v/>
      </c>
      <c r="G67" s="1"/>
    </row>
    <row r="68" customFormat="false" ht="15" hidden="false" customHeight="false" outlineLevel="0" collapsed="false">
      <c r="A68" s="1"/>
      <c r="B68" s="35"/>
      <c r="C68" s="34"/>
      <c r="D68" s="33"/>
      <c r="E68" s="33"/>
      <c r="F68" s="36" t="str">
        <f aca="true">IF(C68="","",IF(E68&lt;&gt;"","paid ✓ — nice",IF(D68="","waiting",IF(D68&lt;TODAY(),"overdue "&amp;(TODAY()-D68)&amp;" days — chase gently","due in "&amp;(D68-TODAY())&amp;" days"))))</f>
        <v/>
      </c>
      <c r="G68" s="1"/>
    </row>
    <row r="69" customFormat="false" ht="15" hidden="false" customHeight="false" outlineLevel="0" collapsed="false">
      <c r="A69" s="1"/>
      <c r="B69" s="35"/>
      <c r="C69" s="34"/>
      <c r="D69" s="33"/>
      <c r="E69" s="33"/>
      <c r="F69" s="36" t="str">
        <f aca="true">IF(C69="","",IF(E69&lt;&gt;"","paid ✓ — nice",IF(D69="","waiting",IF(D69&lt;TODAY(),"overdue "&amp;(TODAY()-D69)&amp;" days — chase gently","due in "&amp;(D69-TODAY())&amp;" days"))))</f>
        <v/>
      </c>
      <c r="G69" s="1"/>
    </row>
    <row r="70" customFormat="false" ht="15" hidden="false" customHeight="false" outlineLevel="0" collapsed="false">
      <c r="A70" s="1"/>
      <c r="B70" s="35"/>
      <c r="C70" s="34"/>
      <c r="D70" s="33"/>
      <c r="E70" s="33"/>
      <c r="F70" s="36" t="str">
        <f aca="true">IF(C70="","",IF(E70&lt;&gt;"","paid ✓ — nice",IF(D70="","waiting",IF(D70&lt;TODAY(),"overdue "&amp;(TODAY()-D70)&amp;" days — chase gently","due in "&amp;(D70-TODAY())&amp;" days"))))</f>
        <v/>
      </c>
      <c r="G70" s="1"/>
    </row>
    <row r="71" customFormat="false" ht="15" hidden="false" customHeight="false" outlineLevel="0" collapsed="false">
      <c r="A71" s="1"/>
      <c r="B71" s="35"/>
      <c r="C71" s="34"/>
      <c r="D71" s="33"/>
      <c r="E71" s="33"/>
      <c r="F71" s="36" t="str">
        <f aca="true">IF(C71="","",IF(E71&lt;&gt;"","paid ✓ — nice",IF(D71="","waiting",IF(D71&lt;TODAY(),"overdue "&amp;(TODAY()-D71)&amp;" days — chase gently","due in "&amp;(D71-TODAY())&amp;" days"))))</f>
        <v/>
      </c>
      <c r="G71" s="1"/>
    </row>
    <row r="72" customFormat="false" ht="15" hidden="false" customHeight="false" outlineLevel="0" collapsed="false">
      <c r="A72" s="1"/>
      <c r="B72" s="35"/>
      <c r="C72" s="34"/>
      <c r="D72" s="33"/>
      <c r="E72" s="33"/>
      <c r="F72" s="36" t="str">
        <f aca="true">IF(C72="","",IF(E72&lt;&gt;"","paid ✓ — nice",IF(D72="","waiting",IF(D72&lt;TODAY(),"overdue "&amp;(TODAY()-D72)&amp;" days — chase gently","due in "&amp;(D72-TODAY())&amp;" days"))))</f>
        <v/>
      </c>
      <c r="G72" s="1"/>
    </row>
    <row r="73" customFormat="false" ht="15" hidden="false" customHeight="false" outlineLevel="0" collapsed="false">
      <c r="A73" s="1"/>
      <c r="B73" s="35"/>
      <c r="C73" s="34"/>
      <c r="D73" s="33"/>
      <c r="E73" s="33"/>
      <c r="F73" s="36" t="str">
        <f aca="true">IF(C73="","",IF(E73&lt;&gt;"","paid ✓ — nice",IF(D73="","waiting",IF(D73&lt;TODAY(),"overdue "&amp;(TODAY()-D73)&amp;" days — chase gently","due in "&amp;(D73-TODAY())&amp;" days"))))</f>
        <v/>
      </c>
      <c r="G73" s="1"/>
    </row>
    <row r="74" customFormat="false" ht="15" hidden="false" customHeight="false" outlineLevel="0" collapsed="false">
      <c r="A74" s="1"/>
      <c r="B74" s="35"/>
      <c r="C74" s="34"/>
      <c r="D74" s="33"/>
      <c r="E74" s="33"/>
      <c r="F74" s="36" t="str">
        <f aca="true">IF(C74="","",IF(E74&lt;&gt;"","paid ✓ — nice",IF(D74="","waiting",IF(D74&lt;TODAY(),"overdue "&amp;(TODAY()-D74)&amp;" days — chase gently","due in "&amp;(D74-TODAY())&amp;" days"))))</f>
        <v/>
      </c>
      <c r="G74" s="1"/>
    </row>
    <row r="75" customFormat="false" ht="15" hidden="false" customHeight="false" outlineLevel="0" collapsed="false">
      <c r="A75" s="1"/>
      <c r="B75" s="35"/>
      <c r="C75" s="34"/>
      <c r="D75" s="33"/>
      <c r="E75" s="33"/>
      <c r="F75" s="36" t="str">
        <f aca="true">IF(C75="","",IF(E75&lt;&gt;"","paid ✓ — nice",IF(D75="","waiting",IF(D75&lt;TODAY(),"overdue "&amp;(TODAY()-D75)&amp;" days — chase gently","due in "&amp;(D75-TODAY())&amp;" days"))))</f>
        <v/>
      </c>
      <c r="G75" s="1"/>
    </row>
    <row r="76" customFormat="false" ht="15" hidden="false" customHeight="false" outlineLevel="0" collapsed="false">
      <c r="A76" s="1"/>
      <c r="B76" s="35"/>
      <c r="C76" s="34"/>
      <c r="D76" s="33"/>
      <c r="E76" s="33"/>
      <c r="F76" s="36" t="str">
        <f aca="true">IF(C76="","",IF(E76&lt;&gt;"","paid ✓ — nice",IF(D76="","waiting",IF(D76&lt;TODAY(),"overdue "&amp;(TODAY()-D76)&amp;" days — chase gently","due in "&amp;(D76-TODAY())&amp;" days"))))</f>
        <v/>
      </c>
      <c r="G76" s="1"/>
    </row>
    <row r="77" customFormat="false" ht="15" hidden="false" customHeight="false" outlineLevel="0" collapsed="false">
      <c r="A77" s="1"/>
      <c r="B77" s="35"/>
      <c r="C77" s="34"/>
      <c r="D77" s="33"/>
      <c r="E77" s="33"/>
      <c r="F77" s="36" t="str">
        <f aca="true">IF(C77="","",IF(E77&lt;&gt;"","paid ✓ — nice",IF(D77="","waiting",IF(D77&lt;TODAY(),"overdue "&amp;(TODAY()-D77)&amp;" days — chase gently","due in "&amp;(D77-TODAY())&amp;" days"))))</f>
        <v/>
      </c>
      <c r="G77" s="1"/>
    </row>
    <row r="78" customFormat="false" ht="15" hidden="false" customHeight="false" outlineLevel="0" collapsed="false">
      <c r="A78" s="1"/>
      <c r="B78" s="35"/>
      <c r="C78" s="34"/>
      <c r="D78" s="33"/>
      <c r="E78" s="33"/>
      <c r="F78" s="36" t="str">
        <f aca="true">IF(C78="","",IF(E78&lt;&gt;"","paid ✓ — nice",IF(D78="","waiting",IF(D78&lt;TODAY(),"overdue "&amp;(TODAY()-D78)&amp;" days — chase gently","due in "&amp;(D78-TODAY())&amp;" days"))))</f>
        <v/>
      </c>
      <c r="G78" s="1"/>
    </row>
    <row r="79" customFormat="false" ht="15" hidden="false" customHeight="false" outlineLevel="0" collapsed="false">
      <c r="A79" s="1"/>
      <c r="B79" s="35"/>
      <c r="C79" s="34"/>
      <c r="D79" s="33"/>
      <c r="E79" s="33"/>
      <c r="F79" s="36" t="str">
        <f aca="true">IF(C79="","",IF(E79&lt;&gt;"","paid ✓ — nice",IF(D79="","waiting",IF(D79&lt;TODAY(),"overdue "&amp;(TODAY()-D79)&amp;" days — chase gently","due in "&amp;(D79-TODAY())&amp;" days"))))</f>
        <v/>
      </c>
      <c r="G79" s="1"/>
    </row>
    <row r="80" customFormat="false" ht="15" hidden="false" customHeight="false" outlineLevel="0" collapsed="false">
      <c r="A80" s="1"/>
      <c r="B80" s="35"/>
      <c r="C80" s="34"/>
      <c r="D80" s="33"/>
      <c r="E80" s="33"/>
      <c r="F80" s="36" t="str">
        <f aca="true">IF(C80="","",IF(E80&lt;&gt;"","paid ✓ — nice",IF(D80="","waiting",IF(D80&lt;TODAY(),"overdue "&amp;(TODAY()-D80)&amp;" days — chase gently","due in "&amp;(D80-TODAY())&amp;" days"))))</f>
        <v/>
      </c>
      <c r="G80" s="1"/>
    </row>
    <row r="81" customFormat="false" ht="15" hidden="false" customHeight="false" outlineLevel="0" collapsed="false">
      <c r="A81" s="1"/>
      <c r="B81" s="35"/>
      <c r="C81" s="34"/>
      <c r="D81" s="33"/>
      <c r="E81" s="33"/>
      <c r="F81" s="36" t="str">
        <f aca="true">IF(C81="","",IF(E81&lt;&gt;"","paid ✓ — nice",IF(D81="","waiting",IF(D81&lt;TODAY(),"overdue "&amp;(TODAY()-D81)&amp;" days — chase gently","due in "&amp;(D81-TODAY())&amp;" days"))))</f>
        <v/>
      </c>
      <c r="G81" s="1"/>
    </row>
    <row r="82" customFormat="false" ht="15" hidden="false" customHeight="false" outlineLevel="0" collapsed="false">
      <c r="A82" s="1"/>
      <c r="B82" s="35"/>
      <c r="C82" s="34"/>
      <c r="D82" s="33"/>
      <c r="E82" s="33"/>
      <c r="F82" s="36" t="str">
        <f aca="true">IF(C82="","",IF(E82&lt;&gt;"","paid ✓ — nice",IF(D82="","waiting",IF(D82&lt;TODAY(),"overdue "&amp;(TODAY()-D82)&amp;" days — chase gently","due in "&amp;(D82-TODAY())&amp;" days"))))</f>
        <v/>
      </c>
      <c r="G82" s="1"/>
    </row>
    <row r="83" customFormat="false" ht="15" hidden="false" customHeight="false" outlineLevel="0" collapsed="false">
      <c r="A83" s="1"/>
      <c r="B83" s="35"/>
      <c r="C83" s="34"/>
      <c r="D83" s="33"/>
      <c r="E83" s="33"/>
      <c r="F83" s="36" t="str">
        <f aca="true">IF(C83="","",IF(E83&lt;&gt;"","paid ✓ — nice",IF(D83="","waiting",IF(D83&lt;TODAY(),"overdue "&amp;(TODAY()-D83)&amp;" days — chase gently","due in "&amp;(D83-TODAY())&amp;" days"))))</f>
        <v/>
      </c>
      <c r="G83" s="1"/>
    </row>
    <row r="84" customFormat="false" ht="15" hidden="false" customHeight="false" outlineLevel="0" collapsed="false">
      <c r="A84" s="1"/>
      <c r="B84" s="35"/>
      <c r="C84" s="34"/>
      <c r="D84" s="33"/>
      <c r="E84" s="33"/>
      <c r="F84" s="36" t="str">
        <f aca="true">IF(C84="","",IF(E84&lt;&gt;"","paid ✓ — nice",IF(D84="","waiting",IF(D84&lt;TODAY(),"overdue "&amp;(TODAY()-D84)&amp;" days — chase gently","due in "&amp;(D84-TODAY())&amp;" days"))))</f>
        <v/>
      </c>
      <c r="G84" s="1"/>
    </row>
    <row r="85" customFormat="false" ht="15" hidden="false" customHeight="false" outlineLevel="0" collapsed="false">
      <c r="A85" s="1"/>
      <c r="B85" s="35"/>
      <c r="C85" s="34"/>
      <c r="D85" s="33"/>
      <c r="E85" s="33"/>
      <c r="F85" s="36" t="str">
        <f aca="true">IF(C85="","",IF(E85&lt;&gt;"","paid ✓ — nice",IF(D85="","waiting",IF(D85&lt;TODAY(),"overdue "&amp;(TODAY()-D85)&amp;" days — chase gently","due in "&amp;(D85-TODAY())&amp;" days"))))</f>
        <v/>
      </c>
      <c r="G85" s="1"/>
    </row>
    <row r="86" customFormat="false" ht="15" hidden="false" customHeight="false" outlineLevel="0" collapsed="false">
      <c r="A86" s="1"/>
      <c r="B86" s="35"/>
      <c r="C86" s="34"/>
      <c r="D86" s="33"/>
      <c r="E86" s="33"/>
      <c r="F86" s="36" t="str">
        <f aca="true">IF(C86="","",IF(E86&lt;&gt;"","paid ✓ — nice",IF(D86="","waiting",IF(D86&lt;TODAY(),"overdue "&amp;(TODAY()-D86)&amp;" days — chase gently","due in "&amp;(D86-TODAY())&amp;" days"))))</f>
        <v/>
      </c>
      <c r="G86" s="1"/>
    </row>
    <row r="87" customFormat="false" ht="15" hidden="false" customHeight="false" outlineLevel="0" collapsed="false">
      <c r="A87" s="1"/>
      <c r="B87" s="35"/>
      <c r="C87" s="34"/>
      <c r="D87" s="33"/>
      <c r="E87" s="33"/>
      <c r="F87" s="36" t="str">
        <f aca="true">IF(C87="","",IF(E87&lt;&gt;"","paid ✓ — nice",IF(D87="","waiting",IF(D87&lt;TODAY(),"overdue "&amp;(TODAY()-D87)&amp;" days — chase gently","due in "&amp;(D87-TODAY())&amp;" days"))))</f>
        <v/>
      </c>
      <c r="G87" s="1"/>
    </row>
    <row r="88" customFormat="false" ht="15" hidden="false" customHeight="false" outlineLevel="0" collapsed="false">
      <c r="A88" s="1"/>
      <c r="B88" s="35"/>
      <c r="C88" s="34"/>
      <c r="D88" s="33"/>
      <c r="E88" s="33"/>
      <c r="F88" s="36" t="str">
        <f aca="true">IF(C88="","",IF(E88&lt;&gt;"","paid ✓ — nice",IF(D88="","waiting",IF(D88&lt;TODAY(),"overdue "&amp;(TODAY()-D88)&amp;" days — chase gently","due in "&amp;(D88-TODAY())&amp;" days"))))</f>
        <v/>
      </c>
      <c r="G88" s="1"/>
    </row>
    <row r="89" customFormat="false" ht="15" hidden="false" customHeight="false" outlineLevel="0" collapsed="false">
      <c r="A89" s="1"/>
      <c r="B89" s="35"/>
      <c r="C89" s="34"/>
      <c r="D89" s="33"/>
      <c r="E89" s="33"/>
      <c r="F89" s="36" t="str">
        <f aca="true">IF(C89="","",IF(E89&lt;&gt;"","paid ✓ — nice",IF(D89="","waiting",IF(D89&lt;TODAY(),"overdue "&amp;(TODAY()-D89)&amp;" days — chase gently","due in "&amp;(D89-TODAY())&amp;" days"))))</f>
        <v/>
      </c>
      <c r="G89" s="1"/>
    </row>
    <row r="90" customFormat="false" ht="15" hidden="false" customHeight="false" outlineLevel="0" collapsed="false">
      <c r="A90" s="1"/>
      <c r="B90" s="35"/>
      <c r="C90" s="34"/>
      <c r="D90" s="33"/>
      <c r="E90" s="33"/>
      <c r="F90" s="36" t="str">
        <f aca="true">IF(C90="","",IF(E90&lt;&gt;"","paid ✓ — nice",IF(D90="","waiting",IF(D90&lt;TODAY(),"overdue "&amp;(TODAY()-D90)&amp;" days — chase gently","due in "&amp;(D90-TODAY())&amp;" days"))))</f>
        <v/>
      </c>
      <c r="G90" s="1"/>
    </row>
    <row r="91" customFormat="false" ht="15" hidden="false" customHeight="false" outlineLevel="0" collapsed="false">
      <c r="A91" s="1"/>
      <c r="B91" s="35"/>
      <c r="C91" s="34"/>
      <c r="D91" s="33"/>
      <c r="E91" s="33"/>
      <c r="F91" s="36" t="str">
        <f aca="true">IF(C91="","",IF(E91&lt;&gt;"","paid ✓ — nice",IF(D91="","waiting",IF(D91&lt;TODAY(),"overdue "&amp;(TODAY()-D91)&amp;" days — chase gently","due in "&amp;(D91-TODAY())&amp;" days"))))</f>
        <v/>
      </c>
      <c r="G91" s="1"/>
    </row>
    <row r="92" customFormat="false" ht="15" hidden="false" customHeight="false" outlineLevel="0" collapsed="false">
      <c r="A92" s="1"/>
      <c r="B92" s="35"/>
      <c r="C92" s="34"/>
      <c r="D92" s="33"/>
      <c r="E92" s="33"/>
      <c r="F92" s="36" t="str">
        <f aca="true">IF(C92="","",IF(E92&lt;&gt;"","paid ✓ — nice",IF(D92="","waiting",IF(D92&lt;TODAY(),"overdue "&amp;(TODAY()-D92)&amp;" days — chase gently","due in "&amp;(D92-TODAY())&amp;" days"))))</f>
        <v/>
      </c>
      <c r="G92" s="1"/>
    </row>
    <row r="93" customFormat="false" ht="15" hidden="false" customHeight="false" outlineLevel="0" collapsed="false">
      <c r="A93" s="1"/>
      <c r="B93" s="35"/>
      <c r="C93" s="34"/>
      <c r="D93" s="33"/>
      <c r="E93" s="33"/>
      <c r="F93" s="36" t="str">
        <f aca="true">IF(C93="","",IF(E93&lt;&gt;"","paid ✓ — nice",IF(D93="","waiting",IF(D93&lt;TODAY(),"overdue "&amp;(TODAY()-D93)&amp;" days — chase gently","due in "&amp;(D93-TODAY())&amp;" days"))))</f>
        <v/>
      </c>
      <c r="G93" s="1"/>
    </row>
    <row r="94" customFormat="false" ht="15" hidden="false" customHeight="false" outlineLevel="0" collapsed="false">
      <c r="A94" s="1"/>
      <c r="B94" s="35"/>
      <c r="C94" s="34"/>
      <c r="D94" s="33"/>
      <c r="E94" s="33"/>
      <c r="F94" s="36" t="str">
        <f aca="true">IF(C94="","",IF(E94&lt;&gt;"","paid ✓ — nice",IF(D94="","waiting",IF(D94&lt;TODAY(),"overdue "&amp;(TODAY()-D94)&amp;" days — chase gently","due in "&amp;(D94-TODAY())&amp;" days"))))</f>
        <v/>
      </c>
      <c r="G94" s="1"/>
    </row>
    <row r="95" customFormat="false" ht="15" hidden="false" customHeight="false" outlineLevel="0" collapsed="false">
      <c r="A95" s="1"/>
      <c r="B95" s="35"/>
      <c r="C95" s="34"/>
      <c r="D95" s="33"/>
      <c r="E95" s="33"/>
      <c r="F95" s="36" t="str">
        <f aca="true">IF(C95="","",IF(E95&lt;&gt;"","paid ✓ — nice",IF(D95="","waiting",IF(D95&lt;TODAY(),"overdue "&amp;(TODAY()-D95)&amp;" days — chase gently","due in "&amp;(D95-TODAY())&amp;" days"))))</f>
        <v/>
      </c>
      <c r="G95" s="1"/>
    </row>
    <row r="96" customFormat="false" ht="15" hidden="false" customHeight="false" outlineLevel="0" collapsed="false">
      <c r="A96" s="1"/>
      <c r="B96" s="35"/>
      <c r="C96" s="34"/>
      <c r="D96" s="33"/>
      <c r="E96" s="33"/>
      <c r="F96" s="36" t="str">
        <f aca="true">IF(C96="","",IF(E96&lt;&gt;"","paid ✓ — nice",IF(D96="","waiting",IF(D96&lt;TODAY(),"overdue "&amp;(TODAY()-D96)&amp;" days — chase gently","due in "&amp;(D96-TODAY())&amp;" days"))))</f>
        <v/>
      </c>
      <c r="G96" s="1"/>
    </row>
    <row r="97" customFormat="false" ht="15" hidden="false" customHeight="false" outlineLevel="0" collapsed="false">
      <c r="A97" s="1"/>
      <c r="B97" s="35"/>
      <c r="C97" s="34"/>
      <c r="D97" s="33"/>
      <c r="E97" s="33"/>
      <c r="F97" s="36" t="str">
        <f aca="true">IF(C97="","",IF(E97&lt;&gt;"","paid ✓ — nice",IF(D97="","waiting",IF(D97&lt;TODAY(),"overdue "&amp;(TODAY()-D97)&amp;" days — chase gently","due in "&amp;(D97-TODAY())&amp;" days"))))</f>
        <v/>
      </c>
      <c r="G97" s="1"/>
    </row>
    <row r="98" customFormat="false" ht="15" hidden="false" customHeight="false" outlineLevel="0" collapsed="false">
      <c r="A98" s="1"/>
      <c r="B98" s="35"/>
      <c r="C98" s="34"/>
      <c r="D98" s="33"/>
      <c r="E98" s="33"/>
      <c r="F98" s="36" t="str">
        <f aca="true">IF(C98="","",IF(E98&lt;&gt;"","paid ✓ — nice",IF(D98="","waiting",IF(D98&lt;TODAY(),"overdue "&amp;(TODAY()-D98)&amp;" days — chase gently","due in "&amp;(D98-TODAY())&amp;" days"))))</f>
        <v/>
      </c>
      <c r="G98" s="1"/>
    </row>
    <row r="99" customFormat="false" ht="15" hidden="false" customHeight="false" outlineLevel="0" collapsed="false">
      <c r="A99" s="1"/>
      <c r="B99" s="35"/>
      <c r="C99" s="34"/>
      <c r="D99" s="33"/>
      <c r="E99" s="33"/>
      <c r="F99" s="36" t="str">
        <f aca="true">IF(C99="","",IF(E99&lt;&gt;"","paid ✓ — nice",IF(D99="","waiting",IF(D99&lt;TODAY(),"overdue "&amp;(TODAY()-D99)&amp;" days — chase gently","due in "&amp;(D99-TODAY())&amp;" days"))))</f>
        <v/>
      </c>
      <c r="G99" s="1"/>
    </row>
    <row r="100" customFormat="false" ht="15" hidden="false" customHeight="false" outlineLevel="0" collapsed="false">
      <c r="A100" s="1"/>
      <c r="B100" s="35"/>
      <c r="C100" s="34"/>
      <c r="D100" s="33"/>
      <c r="E100" s="33"/>
      <c r="F100" s="36" t="str">
        <f aca="true">IF(C100="","",IF(E100&lt;&gt;"","paid ✓ — nice",IF(D100="","waiting",IF(D100&lt;TODAY(),"overdue "&amp;(TODAY()-D100)&amp;" days — chase gently","due in "&amp;(D100-TODAY())&amp;" days"))))</f>
        <v/>
      </c>
      <c r="G100" s="1"/>
    </row>
    <row r="101" customFormat="false" ht="15" hidden="false" customHeight="false" outlineLevel="0" collapsed="false">
      <c r="A101" s="1"/>
      <c r="B101" s="35"/>
      <c r="C101" s="34"/>
      <c r="D101" s="33"/>
      <c r="E101" s="33"/>
      <c r="F101" s="36" t="str">
        <f aca="true">IF(C101="","",IF(E101&lt;&gt;"","paid ✓ — nice",IF(D101="","waiting",IF(D101&lt;TODAY(),"overdue "&amp;(TODAY()-D101)&amp;" days — chase gently","due in "&amp;(D101-TODAY())&amp;" days"))))</f>
        <v/>
      </c>
      <c r="G101" s="1"/>
    </row>
    <row r="102" customFormat="false" ht="15" hidden="false" customHeight="false" outlineLevel="0" collapsed="false">
      <c r="A102" s="1"/>
      <c r="B102" s="35"/>
      <c r="C102" s="34"/>
      <c r="D102" s="33"/>
      <c r="E102" s="33"/>
      <c r="F102" s="36" t="str">
        <f aca="true">IF(C102="","",IF(E102&lt;&gt;"","paid ✓ — nice",IF(D102="","waiting",IF(D102&lt;TODAY(),"overdue "&amp;(TODAY()-D102)&amp;" days — chase gently","due in "&amp;(D102-TODAY())&amp;" days"))))</f>
        <v/>
      </c>
      <c r="G102" s="1"/>
    </row>
    <row r="103" customFormat="false" ht="15" hidden="false" customHeight="false" outlineLevel="0" collapsed="false">
      <c r="A103" s="1"/>
      <c r="B103" s="35"/>
      <c r="C103" s="34"/>
      <c r="D103" s="33"/>
      <c r="E103" s="33"/>
      <c r="F103" s="36" t="str">
        <f aca="true">IF(C103="","",IF(E103&lt;&gt;"","paid ✓ — nice",IF(D103="","waiting",IF(D103&lt;TODAY(),"overdue "&amp;(TODAY()-D103)&amp;" days — chase gently","due in "&amp;(D103-TODAY())&amp;" days"))))</f>
        <v/>
      </c>
      <c r="G103" s="1"/>
    </row>
    <row r="104" customFormat="false" ht="15" hidden="false" customHeight="false" outlineLevel="0" collapsed="false">
      <c r="A104" s="1"/>
      <c r="B104" s="35"/>
      <c r="C104" s="34"/>
      <c r="D104" s="33"/>
      <c r="E104" s="33"/>
      <c r="F104" s="36" t="str">
        <f aca="true">IF(C104="","",IF(E104&lt;&gt;"","paid ✓ — nice",IF(D104="","waiting",IF(D104&lt;TODAY(),"overdue "&amp;(TODAY()-D104)&amp;" days — chase gently","due in "&amp;(D104-TODAY())&amp;" days"))))</f>
        <v/>
      </c>
      <c r="G104" s="1"/>
    </row>
    <row r="105" customFormat="false" ht="15" hidden="false" customHeight="false" outlineLevel="0" collapsed="false">
      <c r="A105" s="1"/>
      <c r="B105" s="35"/>
      <c r="C105" s="34"/>
      <c r="D105" s="33"/>
      <c r="E105" s="33"/>
      <c r="F105" s="36" t="str">
        <f aca="true">IF(C105="","",IF(E105&lt;&gt;"","paid ✓ — nice",IF(D105="","waiting",IF(D105&lt;TODAY(),"overdue "&amp;(TODAY()-D105)&amp;" days — chase gently","due in "&amp;(D105-TODAY())&amp;" days"))))</f>
        <v/>
      </c>
      <c r="G105" s="1"/>
    </row>
    <row r="106" customFormat="false" ht="15" hidden="false" customHeight="false" outlineLevel="0" collapsed="false">
      <c r="A106" s="1"/>
      <c r="B106" s="35"/>
      <c r="C106" s="34"/>
      <c r="D106" s="33"/>
      <c r="E106" s="33"/>
      <c r="F106" s="36" t="str">
        <f aca="true">IF(C106="","",IF(E106&lt;&gt;"","paid ✓ — nice",IF(D106="","waiting",IF(D106&lt;TODAY(),"overdue "&amp;(TODAY()-D106)&amp;" days — chase gently","due in "&amp;(D106-TODAY())&amp;" days"))))</f>
        <v/>
      </c>
      <c r="G106" s="1"/>
    </row>
    <row r="107" customFormat="false" ht="15" hidden="false" customHeight="false" outlineLevel="0" collapsed="false">
      <c r="A107" s="1"/>
      <c r="B107" s="35"/>
      <c r="C107" s="34"/>
      <c r="D107" s="33"/>
      <c r="E107" s="33"/>
      <c r="F107" s="36" t="str">
        <f aca="true">IF(C107="","",IF(E107&lt;&gt;"","paid ✓ — nice",IF(D107="","waiting",IF(D107&lt;TODAY(),"overdue "&amp;(TODAY()-D107)&amp;" days — chase gently","due in "&amp;(D107-TODAY())&amp;" days"))))</f>
        <v/>
      </c>
      <c r="G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</row>
  </sheetData>
  <conditionalFormatting sqref="F8:F107">
    <cfRule type="expression" priority="2" aboveAverage="0" equalAverage="0" bottom="0" percent="0" rank="0" text="" dxfId="2">
      <formula>LEFT(F8,4)="paid"</formula>
    </cfRule>
    <cfRule type="expression" priority="3" aboveAverage="0" equalAverage="0" bottom="0" percent="0" rank="0" text="" dxfId="3">
      <formula>LEFT(F8,7)="overdue"</formula>
    </cfRule>
  </conditionalFormatting>
  <dataValidations count="1">
    <dataValidation allowBlank="true" error="That doesn't look like a date. Double-click the box to pick one from the calendar." errorStyle="stop" operator="greaterThan" showDropDown="false" showErrorMessage="true" showInputMessage="false" sqref="D8:E107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BBBBB"/>
    <pageSetUpPr fitToPage="false"/>
  </sheetPr>
  <dimension ref="A1:G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39.75" hidden="false" customHeight="true" outlineLevel="0" collapsed="false">
      <c r="A2" s="1"/>
      <c r="B2" s="2" t="s">
        <v>80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3" t="s">
        <v>81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1" t="s">
        <v>82</v>
      </c>
      <c r="C4" s="1"/>
      <c r="D4" s="1"/>
      <c r="E4" s="1"/>
      <c r="F4" s="1"/>
      <c r="G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</row>
    <row r="6" customFormat="false" ht="27.75" hidden="false" customHeight="true" outlineLevel="0" collapsed="false">
      <c r="A6" s="1"/>
      <c r="B6" s="31" t="s">
        <v>62</v>
      </c>
      <c r="C6" s="31" t="s">
        <v>83</v>
      </c>
      <c r="D6" s="31" t="s">
        <v>71</v>
      </c>
      <c r="E6" s="31" t="s">
        <v>84</v>
      </c>
      <c r="F6" s="31" t="s">
        <v>72</v>
      </c>
      <c r="G6" s="1"/>
    </row>
    <row r="7" customFormat="false" ht="15" hidden="false" customHeight="false" outlineLevel="0" collapsed="false">
      <c r="A7" s="1"/>
      <c r="B7" s="32" t="s">
        <v>85</v>
      </c>
      <c r="C7" s="32" t="s">
        <v>86</v>
      </c>
      <c r="D7" s="32" t="s">
        <v>87</v>
      </c>
      <c r="E7" s="32" t="s">
        <v>88</v>
      </c>
      <c r="F7" s="32" t="s">
        <v>89</v>
      </c>
      <c r="G7" s="1"/>
    </row>
    <row r="8" customFormat="false" ht="15" hidden="false" customHeight="false" outlineLevel="0" collapsed="false">
      <c r="A8" s="1"/>
      <c r="B8" s="33"/>
      <c r="C8" s="35"/>
      <c r="D8" s="35"/>
      <c r="E8" s="35"/>
      <c r="F8" s="34"/>
      <c r="G8" s="1"/>
    </row>
    <row r="9" customFormat="false" ht="15" hidden="false" customHeight="false" outlineLevel="0" collapsed="false">
      <c r="A9" s="1"/>
      <c r="B9" s="33"/>
      <c r="C9" s="35"/>
      <c r="D9" s="35"/>
      <c r="E9" s="35"/>
      <c r="F9" s="34"/>
      <c r="G9" s="1"/>
    </row>
    <row r="10" customFormat="false" ht="15" hidden="false" customHeight="false" outlineLevel="0" collapsed="false">
      <c r="A10" s="1"/>
      <c r="B10" s="33"/>
      <c r="C10" s="35"/>
      <c r="D10" s="35"/>
      <c r="E10" s="35"/>
      <c r="F10" s="34"/>
      <c r="G10" s="1"/>
    </row>
    <row r="11" customFormat="false" ht="15" hidden="false" customHeight="false" outlineLevel="0" collapsed="false">
      <c r="A11" s="1"/>
      <c r="B11" s="33"/>
      <c r="C11" s="35"/>
      <c r="D11" s="35"/>
      <c r="E11" s="35"/>
      <c r="F11" s="34"/>
      <c r="G11" s="1"/>
    </row>
    <row r="12" customFormat="false" ht="15" hidden="false" customHeight="false" outlineLevel="0" collapsed="false">
      <c r="A12" s="1"/>
      <c r="B12" s="33"/>
      <c r="C12" s="35"/>
      <c r="D12" s="35"/>
      <c r="E12" s="35"/>
      <c r="F12" s="34"/>
      <c r="G12" s="1"/>
    </row>
    <row r="13" customFormat="false" ht="15" hidden="false" customHeight="false" outlineLevel="0" collapsed="false">
      <c r="A13" s="1"/>
      <c r="B13" s="33"/>
      <c r="C13" s="35"/>
      <c r="D13" s="35"/>
      <c r="E13" s="35"/>
      <c r="F13" s="34"/>
      <c r="G13" s="1"/>
    </row>
    <row r="14" customFormat="false" ht="15" hidden="false" customHeight="false" outlineLevel="0" collapsed="false">
      <c r="A14" s="1"/>
      <c r="B14" s="33"/>
      <c r="C14" s="35"/>
      <c r="D14" s="35"/>
      <c r="E14" s="35"/>
      <c r="F14" s="34"/>
      <c r="G14" s="1"/>
    </row>
    <row r="15" customFormat="false" ht="15" hidden="false" customHeight="false" outlineLevel="0" collapsed="false">
      <c r="A15" s="1"/>
      <c r="B15" s="33"/>
      <c r="C15" s="35"/>
      <c r="D15" s="35"/>
      <c r="E15" s="35"/>
      <c r="F15" s="34"/>
      <c r="G15" s="1"/>
    </row>
    <row r="16" customFormat="false" ht="15" hidden="false" customHeight="false" outlineLevel="0" collapsed="false">
      <c r="A16" s="1"/>
      <c r="B16" s="33"/>
      <c r="C16" s="35"/>
      <c r="D16" s="35"/>
      <c r="E16" s="35"/>
      <c r="F16" s="34"/>
      <c r="G16" s="1"/>
    </row>
    <row r="17" customFormat="false" ht="15" hidden="false" customHeight="false" outlineLevel="0" collapsed="false">
      <c r="A17" s="1"/>
      <c r="B17" s="33"/>
      <c r="C17" s="35"/>
      <c r="D17" s="35"/>
      <c r="E17" s="35"/>
      <c r="F17" s="34"/>
      <c r="G17" s="1"/>
    </row>
    <row r="18" customFormat="false" ht="15" hidden="false" customHeight="false" outlineLevel="0" collapsed="false">
      <c r="A18" s="1"/>
      <c r="B18" s="33"/>
      <c r="C18" s="35"/>
      <c r="D18" s="35"/>
      <c r="E18" s="35"/>
      <c r="F18" s="34"/>
      <c r="G18" s="1"/>
    </row>
    <row r="19" customFormat="false" ht="15" hidden="false" customHeight="false" outlineLevel="0" collapsed="false">
      <c r="A19" s="1"/>
      <c r="B19" s="33"/>
      <c r="C19" s="35"/>
      <c r="D19" s="35"/>
      <c r="E19" s="35"/>
      <c r="F19" s="34"/>
      <c r="G19" s="1"/>
    </row>
    <row r="20" customFormat="false" ht="15" hidden="false" customHeight="false" outlineLevel="0" collapsed="false">
      <c r="A20" s="1"/>
      <c r="B20" s="33"/>
      <c r="C20" s="35"/>
      <c r="D20" s="35"/>
      <c r="E20" s="35"/>
      <c r="F20" s="34"/>
      <c r="G20" s="1"/>
    </row>
    <row r="21" customFormat="false" ht="15" hidden="false" customHeight="false" outlineLevel="0" collapsed="false">
      <c r="A21" s="1"/>
      <c r="B21" s="33"/>
      <c r="C21" s="35"/>
      <c r="D21" s="35"/>
      <c r="E21" s="35"/>
      <c r="F21" s="34"/>
      <c r="G21" s="1"/>
    </row>
    <row r="22" customFormat="false" ht="15" hidden="false" customHeight="false" outlineLevel="0" collapsed="false">
      <c r="A22" s="1"/>
      <c r="B22" s="33"/>
      <c r="C22" s="35"/>
      <c r="D22" s="35"/>
      <c r="E22" s="35"/>
      <c r="F22" s="34"/>
      <c r="G22" s="1"/>
    </row>
    <row r="23" customFormat="false" ht="15" hidden="false" customHeight="false" outlineLevel="0" collapsed="false">
      <c r="A23" s="1"/>
      <c r="B23" s="33"/>
      <c r="C23" s="35"/>
      <c r="D23" s="35"/>
      <c r="E23" s="35"/>
      <c r="F23" s="34"/>
      <c r="G23" s="1"/>
    </row>
    <row r="24" customFormat="false" ht="15" hidden="false" customHeight="false" outlineLevel="0" collapsed="false">
      <c r="A24" s="1"/>
      <c r="B24" s="33"/>
      <c r="C24" s="35"/>
      <c r="D24" s="35"/>
      <c r="E24" s="35"/>
      <c r="F24" s="34"/>
      <c r="G24" s="1"/>
    </row>
    <row r="25" customFormat="false" ht="15" hidden="false" customHeight="false" outlineLevel="0" collapsed="false">
      <c r="A25" s="1"/>
      <c r="B25" s="33"/>
      <c r="C25" s="35"/>
      <c r="D25" s="35"/>
      <c r="E25" s="35"/>
      <c r="F25" s="34"/>
      <c r="G25" s="1"/>
    </row>
    <row r="26" customFormat="false" ht="15" hidden="false" customHeight="false" outlineLevel="0" collapsed="false">
      <c r="A26" s="1"/>
      <c r="B26" s="33"/>
      <c r="C26" s="35"/>
      <c r="D26" s="35"/>
      <c r="E26" s="35"/>
      <c r="F26" s="34"/>
      <c r="G26" s="1"/>
    </row>
    <row r="27" customFormat="false" ht="15" hidden="false" customHeight="false" outlineLevel="0" collapsed="false">
      <c r="A27" s="1"/>
      <c r="B27" s="33"/>
      <c r="C27" s="35"/>
      <c r="D27" s="35"/>
      <c r="E27" s="35"/>
      <c r="F27" s="34"/>
      <c r="G27" s="1"/>
    </row>
    <row r="28" customFormat="false" ht="15" hidden="false" customHeight="false" outlineLevel="0" collapsed="false">
      <c r="A28" s="1"/>
      <c r="B28" s="33"/>
      <c r="C28" s="35"/>
      <c r="D28" s="35"/>
      <c r="E28" s="35"/>
      <c r="F28" s="34"/>
      <c r="G28" s="1"/>
    </row>
    <row r="29" customFormat="false" ht="15" hidden="false" customHeight="false" outlineLevel="0" collapsed="false">
      <c r="A29" s="1"/>
      <c r="B29" s="33"/>
      <c r="C29" s="35"/>
      <c r="D29" s="35"/>
      <c r="E29" s="35"/>
      <c r="F29" s="34"/>
      <c r="G29" s="1"/>
    </row>
    <row r="30" customFormat="false" ht="15" hidden="false" customHeight="false" outlineLevel="0" collapsed="false">
      <c r="A30" s="1"/>
      <c r="B30" s="33"/>
      <c r="C30" s="35"/>
      <c r="D30" s="35"/>
      <c r="E30" s="35"/>
      <c r="F30" s="34"/>
      <c r="G30" s="1"/>
    </row>
    <row r="31" customFormat="false" ht="15" hidden="false" customHeight="false" outlineLevel="0" collapsed="false">
      <c r="A31" s="1"/>
      <c r="B31" s="33"/>
      <c r="C31" s="35"/>
      <c r="D31" s="35"/>
      <c r="E31" s="35"/>
      <c r="F31" s="34"/>
      <c r="G31" s="1"/>
    </row>
    <row r="32" customFormat="false" ht="15" hidden="false" customHeight="false" outlineLevel="0" collapsed="false">
      <c r="A32" s="1"/>
      <c r="B32" s="33"/>
      <c r="C32" s="35"/>
      <c r="D32" s="35"/>
      <c r="E32" s="35"/>
      <c r="F32" s="34"/>
      <c r="G32" s="1"/>
    </row>
    <row r="33" customFormat="false" ht="15" hidden="false" customHeight="false" outlineLevel="0" collapsed="false">
      <c r="A33" s="1"/>
      <c r="B33" s="33"/>
      <c r="C33" s="35"/>
      <c r="D33" s="35"/>
      <c r="E33" s="35"/>
      <c r="F33" s="34"/>
      <c r="G33" s="1"/>
    </row>
    <row r="34" customFormat="false" ht="15" hidden="false" customHeight="false" outlineLevel="0" collapsed="false">
      <c r="A34" s="1"/>
      <c r="B34" s="33"/>
      <c r="C34" s="35"/>
      <c r="D34" s="35"/>
      <c r="E34" s="35"/>
      <c r="F34" s="34"/>
      <c r="G34" s="1"/>
    </row>
    <row r="35" customFormat="false" ht="15" hidden="false" customHeight="false" outlineLevel="0" collapsed="false">
      <c r="A35" s="1"/>
      <c r="B35" s="33"/>
      <c r="C35" s="35"/>
      <c r="D35" s="35"/>
      <c r="E35" s="35"/>
      <c r="F35" s="34"/>
      <c r="G35" s="1"/>
    </row>
    <row r="36" customFormat="false" ht="15" hidden="false" customHeight="false" outlineLevel="0" collapsed="false">
      <c r="A36" s="1"/>
      <c r="B36" s="33"/>
      <c r="C36" s="35"/>
      <c r="D36" s="35"/>
      <c r="E36" s="35"/>
      <c r="F36" s="34"/>
      <c r="G36" s="1"/>
    </row>
    <row r="37" customFormat="false" ht="15" hidden="false" customHeight="false" outlineLevel="0" collapsed="false">
      <c r="A37" s="1"/>
      <c r="B37" s="33"/>
      <c r="C37" s="35"/>
      <c r="D37" s="35"/>
      <c r="E37" s="35"/>
      <c r="F37" s="34"/>
      <c r="G37" s="1"/>
    </row>
    <row r="38" customFormat="false" ht="15" hidden="false" customHeight="false" outlineLevel="0" collapsed="false">
      <c r="A38" s="1"/>
      <c r="B38" s="33"/>
      <c r="C38" s="35"/>
      <c r="D38" s="35"/>
      <c r="E38" s="35"/>
      <c r="F38" s="34"/>
      <c r="G38" s="1"/>
    </row>
    <row r="39" customFormat="false" ht="15" hidden="false" customHeight="false" outlineLevel="0" collapsed="false">
      <c r="A39" s="1"/>
      <c r="B39" s="33"/>
      <c r="C39" s="35"/>
      <c r="D39" s="35"/>
      <c r="E39" s="35"/>
      <c r="F39" s="34"/>
      <c r="G39" s="1"/>
    </row>
    <row r="40" customFormat="false" ht="15" hidden="false" customHeight="false" outlineLevel="0" collapsed="false">
      <c r="A40" s="1"/>
      <c r="B40" s="33"/>
      <c r="C40" s="35"/>
      <c r="D40" s="35"/>
      <c r="E40" s="35"/>
      <c r="F40" s="34"/>
      <c r="G40" s="1"/>
    </row>
    <row r="41" customFormat="false" ht="15" hidden="false" customHeight="false" outlineLevel="0" collapsed="false">
      <c r="A41" s="1"/>
      <c r="B41" s="33"/>
      <c r="C41" s="35"/>
      <c r="D41" s="35"/>
      <c r="E41" s="35"/>
      <c r="F41" s="34"/>
      <c r="G41" s="1"/>
    </row>
    <row r="42" customFormat="false" ht="15" hidden="false" customHeight="false" outlineLevel="0" collapsed="false">
      <c r="A42" s="1"/>
      <c r="B42" s="33"/>
      <c r="C42" s="35"/>
      <c r="D42" s="35"/>
      <c r="E42" s="35"/>
      <c r="F42" s="34"/>
      <c r="G42" s="1"/>
    </row>
    <row r="43" customFormat="false" ht="15" hidden="false" customHeight="false" outlineLevel="0" collapsed="false">
      <c r="A43" s="1"/>
      <c r="B43" s="33"/>
      <c r="C43" s="35"/>
      <c r="D43" s="35"/>
      <c r="E43" s="35"/>
      <c r="F43" s="34"/>
      <c r="G43" s="1"/>
    </row>
    <row r="44" customFormat="false" ht="15" hidden="false" customHeight="false" outlineLevel="0" collapsed="false">
      <c r="A44" s="1"/>
      <c r="B44" s="33"/>
      <c r="C44" s="35"/>
      <c r="D44" s="35"/>
      <c r="E44" s="35"/>
      <c r="F44" s="34"/>
      <c r="G44" s="1"/>
    </row>
    <row r="45" customFormat="false" ht="15" hidden="false" customHeight="false" outlineLevel="0" collapsed="false">
      <c r="A45" s="1"/>
      <c r="B45" s="33"/>
      <c r="C45" s="35"/>
      <c r="D45" s="35"/>
      <c r="E45" s="35"/>
      <c r="F45" s="34"/>
      <c r="G45" s="1"/>
    </row>
    <row r="46" customFormat="false" ht="15" hidden="false" customHeight="false" outlineLevel="0" collapsed="false">
      <c r="A46" s="1"/>
      <c r="B46" s="33"/>
      <c r="C46" s="35"/>
      <c r="D46" s="35"/>
      <c r="E46" s="35"/>
      <c r="F46" s="34"/>
      <c r="G46" s="1"/>
    </row>
    <row r="47" customFormat="false" ht="15" hidden="false" customHeight="false" outlineLevel="0" collapsed="false">
      <c r="A47" s="1"/>
      <c r="B47" s="33"/>
      <c r="C47" s="35"/>
      <c r="D47" s="35"/>
      <c r="E47" s="35"/>
      <c r="F47" s="34"/>
      <c r="G47" s="1"/>
    </row>
    <row r="48" customFormat="false" ht="15" hidden="false" customHeight="false" outlineLevel="0" collapsed="false">
      <c r="A48" s="1"/>
      <c r="B48" s="33"/>
      <c r="C48" s="35"/>
      <c r="D48" s="35"/>
      <c r="E48" s="35"/>
      <c r="F48" s="34"/>
      <c r="G48" s="1"/>
    </row>
    <row r="49" customFormat="false" ht="15" hidden="false" customHeight="false" outlineLevel="0" collapsed="false">
      <c r="A49" s="1"/>
      <c r="B49" s="33"/>
      <c r="C49" s="35"/>
      <c r="D49" s="35"/>
      <c r="E49" s="35"/>
      <c r="F49" s="34"/>
      <c r="G49" s="1"/>
    </row>
    <row r="50" customFormat="false" ht="15" hidden="false" customHeight="false" outlineLevel="0" collapsed="false">
      <c r="A50" s="1"/>
      <c r="B50" s="33"/>
      <c r="C50" s="35"/>
      <c r="D50" s="35"/>
      <c r="E50" s="35"/>
      <c r="F50" s="34"/>
      <c r="G50" s="1"/>
    </row>
    <row r="51" customFormat="false" ht="15" hidden="false" customHeight="false" outlineLevel="0" collapsed="false">
      <c r="A51" s="1"/>
      <c r="B51" s="33"/>
      <c r="C51" s="35"/>
      <c r="D51" s="35"/>
      <c r="E51" s="35"/>
      <c r="F51" s="34"/>
      <c r="G51" s="1"/>
    </row>
    <row r="52" customFormat="false" ht="15" hidden="false" customHeight="false" outlineLevel="0" collapsed="false">
      <c r="A52" s="1"/>
      <c r="B52" s="33"/>
      <c r="C52" s="35"/>
      <c r="D52" s="35"/>
      <c r="E52" s="35"/>
      <c r="F52" s="34"/>
      <c r="G52" s="1"/>
    </row>
    <row r="53" customFormat="false" ht="15" hidden="false" customHeight="false" outlineLevel="0" collapsed="false">
      <c r="A53" s="1"/>
      <c r="B53" s="33"/>
      <c r="C53" s="35"/>
      <c r="D53" s="35"/>
      <c r="E53" s="35"/>
      <c r="F53" s="34"/>
      <c r="G53" s="1"/>
    </row>
    <row r="54" customFormat="false" ht="15" hidden="false" customHeight="false" outlineLevel="0" collapsed="false">
      <c r="A54" s="1"/>
      <c r="B54" s="33"/>
      <c r="C54" s="35"/>
      <c r="D54" s="35"/>
      <c r="E54" s="35"/>
      <c r="F54" s="34"/>
      <c r="G54" s="1"/>
    </row>
    <row r="55" customFormat="false" ht="15" hidden="false" customHeight="false" outlineLevel="0" collapsed="false">
      <c r="A55" s="1"/>
      <c r="B55" s="33"/>
      <c r="C55" s="35"/>
      <c r="D55" s="35"/>
      <c r="E55" s="35"/>
      <c r="F55" s="34"/>
      <c r="G55" s="1"/>
    </row>
    <row r="56" customFormat="false" ht="15" hidden="false" customHeight="false" outlineLevel="0" collapsed="false">
      <c r="A56" s="1"/>
      <c r="B56" s="33"/>
      <c r="C56" s="35"/>
      <c r="D56" s="35"/>
      <c r="E56" s="35"/>
      <c r="F56" s="34"/>
      <c r="G56" s="1"/>
    </row>
    <row r="57" customFormat="false" ht="15" hidden="false" customHeight="false" outlineLevel="0" collapsed="false">
      <c r="A57" s="1"/>
      <c r="B57" s="33"/>
      <c r="C57" s="35"/>
      <c r="D57" s="35"/>
      <c r="E57" s="35"/>
      <c r="F57" s="34"/>
      <c r="G57" s="1"/>
    </row>
    <row r="58" customFormat="false" ht="15" hidden="false" customHeight="false" outlineLevel="0" collapsed="false">
      <c r="A58" s="1"/>
      <c r="B58" s="33"/>
      <c r="C58" s="35"/>
      <c r="D58" s="35"/>
      <c r="E58" s="35"/>
      <c r="F58" s="34"/>
      <c r="G58" s="1"/>
    </row>
    <row r="59" customFormat="false" ht="15" hidden="false" customHeight="false" outlineLevel="0" collapsed="false">
      <c r="A59" s="1"/>
      <c r="B59" s="33"/>
      <c r="C59" s="35"/>
      <c r="D59" s="35"/>
      <c r="E59" s="35"/>
      <c r="F59" s="34"/>
      <c r="G59" s="1"/>
    </row>
    <row r="60" customFormat="false" ht="15" hidden="false" customHeight="false" outlineLevel="0" collapsed="false">
      <c r="A60" s="1"/>
      <c r="B60" s="33"/>
      <c r="C60" s="35"/>
      <c r="D60" s="35"/>
      <c r="E60" s="35"/>
      <c r="F60" s="34"/>
      <c r="G60" s="1"/>
    </row>
    <row r="61" customFormat="false" ht="15" hidden="false" customHeight="false" outlineLevel="0" collapsed="false">
      <c r="A61" s="1"/>
      <c r="B61" s="33"/>
      <c r="C61" s="35"/>
      <c r="D61" s="35"/>
      <c r="E61" s="35"/>
      <c r="F61" s="34"/>
      <c r="G61" s="1"/>
    </row>
    <row r="62" customFormat="false" ht="15" hidden="false" customHeight="false" outlineLevel="0" collapsed="false">
      <c r="A62" s="1"/>
      <c r="B62" s="33"/>
      <c r="C62" s="35"/>
      <c r="D62" s="35"/>
      <c r="E62" s="35"/>
      <c r="F62" s="34"/>
      <c r="G62" s="1"/>
    </row>
    <row r="63" customFormat="false" ht="15" hidden="false" customHeight="false" outlineLevel="0" collapsed="false">
      <c r="A63" s="1"/>
      <c r="B63" s="33"/>
      <c r="C63" s="35"/>
      <c r="D63" s="35"/>
      <c r="E63" s="35"/>
      <c r="F63" s="34"/>
      <c r="G63" s="1"/>
    </row>
    <row r="64" customFormat="false" ht="15" hidden="false" customHeight="false" outlineLevel="0" collapsed="false">
      <c r="A64" s="1"/>
      <c r="B64" s="33"/>
      <c r="C64" s="35"/>
      <c r="D64" s="35"/>
      <c r="E64" s="35"/>
      <c r="F64" s="34"/>
      <c r="G64" s="1"/>
    </row>
    <row r="65" customFormat="false" ht="15" hidden="false" customHeight="false" outlineLevel="0" collapsed="false">
      <c r="A65" s="1"/>
      <c r="B65" s="33"/>
      <c r="C65" s="35"/>
      <c r="D65" s="35"/>
      <c r="E65" s="35"/>
      <c r="F65" s="34"/>
      <c r="G65" s="1"/>
    </row>
    <row r="66" customFormat="false" ht="15" hidden="false" customHeight="false" outlineLevel="0" collapsed="false">
      <c r="A66" s="1"/>
      <c r="B66" s="33"/>
      <c r="C66" s="35"/>
      <c r="D66" s="35"/>
      <c r="E66" s="35"/>
      <c r="F66" s="34"/>
      <c r="G66" s="1"/>
    </row>
    <row r="67" customFormat="false" ht="15" hidden="false" customHeight="false" outlineLevel="0" collapsed="false">
      <c r="A67" s="1"/>
      <c r="B67" s="33"/>
      <c r="C67" s="35"/>
      <c r="D67" s="35"/>
      <c r="E67" s="35"/>
      <c r="F67" s="34"/>
      <c r="G67" s="1"/>
    </row>
    <row r="68" customFormat="false" ht="15" hidden="false" customHeight="false" outlineLevel="0" collapsed="false">
      <c r="A68" s="1"/>
      <c r="B68" s="33"/>
      <c r="C68" s="35"/>
      <c r="D68" s="35"/>
      <c r="E68" s="35"/>
      <c r="F68" s="34"/>
      <c r="G68" s="1"/>
    </row>
    <row r="69" customFormat="false" ht="15" hidden="false" customHeight="false" outlineLevel="0" collapsed="false">
      <c r="A69" s="1"/>
      <c r="B69" s="33"/>
      <c r="C69" s="35"/>
      <c r="D69" s="35"/>
      <c r="E69" s="35"/>
      <c r="F69" s="34"/>
      <c r="G69" s="1"/>
    </row>
    <row r="70" customFormat="false" ht="15" hidden="false" customHeight="false" outlineLevel="0" collapsed="false">
      <c r="A70" s="1"/>
      <c r="B70" s="33"/>
      <c r="C70" s="35"/>
      <c r="D70" s="35"/>
      <c r="E70" s="35"/>
      <c r="F70" s="34"/>
      <c r="G70" s="1"/>
    </row>
    <row r="71" customFormat="false" ht="15" hidden="false" customHeight="false" outlineLevel="0" collapsed="false">
      <c r="A71" s="1"/>
      <c r="B71" s="33"/>
      <c r="C71" s="35"/>
      <c r="D71" s="35"/>
      <c r="E71" s="35"/>
      <c r="F71" s="34"/>
      <c r="G71" s="1"/>
    </row>
    <row r="72" customFormat="false" ht="15" hidden="false" customHeight="false" outlineLevel="0" collapsed="false">
      <c r="A72" s="1"/>
      <c r="B72" s="33"/>
      <c r="C72" s="35"/>
      <c r="D72" s="35"/>
      <c r="E72" s="35"/>
      <c r="F72" s="34"/>
      <c r="G72" s="1"/>
    </row>
    <row r="73" customFormat="false" ht="15" hidden="false" customHeight="false" outlineLevel="0" collapsed="false">
      <c r="A73" s="1"/>
      <c r="B73" s="33"/>
      <c r="C73" s="35"/>
      <c r="D73" s="35"/>
      <c r="E73" s="35"/>
      <c r="F73" s="34"/>
      <c r="G73" s="1"/>
    </row>
    <row r="74" customFormat="false" ht="15" hidden="false" customHeight="false" outlineLevel="0" collapsed="false">
      <c r="A74" s="1"/>
      <c r="B74" s="33"/>
      <c r="C74" s="35"/>
      <c r="D74" s="35"/>
      <c r="E74" s="35"/>
      <c r="F74" s="34"/>
      <c r="G74" s="1"/>
    </row>
    <row r="75" customFormat="false" ht="15" hidden="false" customHeight="false" outlineLevel="0" collapsed="false">
      <c r="A75" s="1"/>
      <c r="B75" s="33"/>
      <c r="C75" s="35"/>
      <c r="D75" s="35"/>
      <c r="E75" s="35"/>
      <c r="F75" s="34"/>
      <c r="G75" s="1"/>
    </row>
    <row r="76" customFormat="false" ht="15" hidden="false" customHeight="false" outlineLevel="0" collapsed="false">
      <c r="A76" s="1"/>
      <c r="B76" s="33"/>
      <c r="C76" s="35"/>
      <c r="D76" s="35"/>
      <c r="E76" s="35"/>
      <c r="F76" s="34"/>
      <c r="G76" s="1"/>
    </row>
    <row r="77" customFormat="false" ht="15" hidden="false" customHeight="false" outlineLevel="0" collapsed="false">
      <c r="A77" s="1"/>
      <c r="B77" s="33"/>
      <c r="C77" s="35"/>
      <c r="D77" s="35"/>
      <c r="E77" s="35"/>
      <c r="F77" s="34"/>
      <c r="G77" s="1"/>
    </row>
    <row r="78" customFormat="false" ht="15" hidden="false" customHeight="false" outlineLevel="0" collapsed="false">
      <c r="A78" s="1"/>
      <c r="B78" s="33"/>
      <c r="C78" s="35"/>
      <c r="D78" s="35"/>
      <c r="E78" s="35"/>
      <c r="F78" s="34"/>
      <c r="G78" s="1"/>
    </row>
    <row r="79" customFormat="false" ht="15" hidden="false" customHeight="false" outlineLevel="0" collapsed="false">
      <c r="A79" s="1"/>
      <c r="B79" s="33"/>
      <c r="C79" s="35"/>
      <c r="D79" s="35"/>
      <c r="E79" s="35"/>
      <c r="F79" s="34"/>
      <c r="G79" s="1"/>
    </row>
    <row r="80" customFormat="false" ht="15" hidden="false" customHeight="false" outlineLevel="0" collapsed="false">
      <c r="A80" s="1"/>
      <c r="B80" s="33"/>
      <c r="C80" s="35"/>
      <c r="D80" s="35"/>
      <c r="E80" s="35"/>
      <c r="F80" s="34"/>
      <c r="G80" s="1"/>
    </row>
    <row r="81" customFormat="false" ht="15" hidden="false" customHeight="false" outlineLevel="0" collapsed="false">
      <c r="A81" s="1"/>
      <c r="B81" s="33"/>
      <c r="C81" s="35"/>
      <c r="D81" s="35"/>
      <c r="E81" s="35"/>
      <c r="F81" s="34"/>
      <c r="G81" s="1"/>
    </row>
    <row r="82" customFormat="false" ht="15" hidden="false" customHeight="false" outlineLevel="0" collapsed="false">
      <c r="A82" s="1"/>
      <c r="B82" s="33"/>
      <c r="C82" s="35"/>
      <c r="D82" s="35"/>
      <c r="E82" s="35"/>
      <c r="F82" s="34"/>
      <c r="G82" s="1"/>
    </row>
    <row r="83" customFormat="false" ht="15" hidden="false" customHeight="false" outlineLevel="0" collapsed="false">
      <c r="A83" s="1"/>
      <c r="B83" s="33"/>
      <c r="C83" s="35"/>
      <c r="D83" s="35"/>
      <c r="E83" s="35"/>
      <c r="F83" s="34"/>
      <c r="G83" s="1"/>
    </row>
    <row r="84" customFormat="false" ht="15" hidden="false" customHeight="false" outlineLevel="0" collapsed="false">
      <c r="A84" s="1"/>
      <c r="B84" s="33"/>
      <c r="C84" s="35"/>
      <c r="D84" s="35"/>
      <c r="E84" s="35"/>
      <c r="F84" s="34"/>
      <c r="G84" s="1"/>
    </row>
    <row r="85" customFormat="false" ht="15" hidden="false" customHeight="false" outlineLevel="0" collapsed="false">
      <c r="A85" s="1"/>
      <c r="B85" s="33"/>
      <c r="C85" s="35"/>
      <c r="D85" s="35"/>
      <c r="E85" s="35"/>
      <c r="F85" s="34"/>
      <c r="G85" s="1"/>
    </row>
    <row r="86" customFormat="false" ht="15" hidden="false" customHeight="false" outlineLevel="0" collapsed="false">
      <c r="A86" s="1"/>
      <c r="B86" s="33"/>
      <c r="C86" s="35"/>
      <c r="D86" s="35"/>
      <c r="E86" s="35"/>
      <c r="F86" s="34"/>
      <c r="G86" s="1"/>
    </row>
    <row r="87" customFormat="false" ht="15" hidden="false" customHeight="false" outlineLevel="0" collapsed="false">
      <c r="A87" s="1"/>
      <c r="B87" s="33"/>
      <c r="C87" s="35"/>
      <c r="D87" s="35"/>
      <c r="E87" s="35"/>
      <c r="F87" s="34"/>
      <c r="G87" s="1"/>
    </row>
    <row r="88" customFormat="false" ht="15" hidden="false" customHeight="false" outlineLevel="0" collapsed="false">
      <c r="A88" s="1"/>
      <c r="B88" s="33"/>
      <c r="C88" s="35"/>
      <c r="D88" s="35"/>
      <c r="E88" s="35"/>
      <c r="F88" s="34"/>
      <c r="G88" s="1"/>
    </row>
    <row r="89" customFormat="false" ht="15" hidden="false" customHeight="false" outlineLevel="0" collapsed="false">
      <c r="A89" s="1"/>
      <c r="B89" s="33"/>
      <c r="C89" s="35"/>
      <c r="D89" s="35"/>
      <c r="E89" s="35"/>
      <c r="F89" s="34"/>
      <c r="G89" s="1"/>
    </row>
    <row r="90" customFormat="false" ht="15" hidden="false" customHeight="false" outlineLevel="0" collapsed="false">
      <c r="A90" s="1"/>
      <c r="B90" s="33"/>
      <c r="C90" s="35"/>
      <c r="D90" s="35"/>
      <c r="E90" s="35"/>
      <c r="F90" s="34"/>
      <c r="G90" s="1"/>
    </row>
    <row r="91" customFormat="false" ht="15" hidden="false" customHeight="false" outlineLevel="0" collapsed="false">
      <c r="A91" s="1"/>
      <c r="B91" s="33"/>
      <c r="C91" s="35"/>
      <c r="D91" s="35"/>
      <c r="E91" s="35"/>
      <c r="F91" s="34"/>
      <c r="G91" s="1"/>
    </row>
    <row r="92" customFormat="false" ht="15" hidden="false" customHeight="false" outlineLevel="0" collapsed="false">
      <c r="A92" s="1"/>
      <c r="B92" s="33"/>
      <c r="C92" s="35"/>
      <c r="D92" s="35"/>
      <c r="E92" s="35"/>
      <c r="F92" s="34"/>
      <c r="G92" s="1"/>
    </row>
    <row r="93" customFormat="false" ht="15" hidden="false" customHeight="false" outlineLevel="0" collapsed="false">
      <c r="A93" s="1"/>
      <c r="B93" s="33"/>
      <c r="C93" s="35"/>
      <c r="D93" s="35"/>
      <c r="E93" s="35"/>
      <c r="F93" s="34"/>
      <c r="G93" s="1"/>
    </row>
    <row r="94" customFormat="false" ht="15" hidden="false" customHeight="false" outlineLevel="0" collapsed="false">
      <c r="A94" s="1"/>
      <c r="B94" s="33"/>
      <c r="C94" s="35"/>
      <c r="D94" s="35"/>
      <c r="E94" s="35"/>
      <c r="F94" s="34"/>
      <c r="G94" s="1"/>
    </row>
    <row r="95" customFormat="false" ht="15" hidden="false" customHeight="false" outlineLevel="0" collapsed="false">
      <c r="A95" s="1"/>
      <c r="B95" s="33"/>
      <c r="C95" s="35"/>
      <c r="D95" s="35"/>
      <c r="E95" s="35"/>
      <c r="F95" s="34"/>
      <c r="G95" s="1"/>
    </row>
    <row r="96" customFormat="false" ht="15" hidden="false" customHeight="false" outlineLevel="0" collapsed="false">
      <c r="A96" s="1"/>
      <c r="B96" s="33"/>
      <c r="C96" s="35"/>
      <c r="D96" s="35"/>
      <c r="E96" s="35"/>
      <c r="F96" s="34"/>
      <c r="G96" s="1"/>
    </row>
    <row r="97" customFormat="false" ht="15" hidden="false" customHeight="false" outlineLevel="0" collapsed="false">
      <c r="A97" s="1"/>
      <c r="B97" s="33"/>
      <c r="C97" s="35"/>
      <c r="D97" s="35"/>
      <c r="E97" s="35"/>
      <c r="F97" s="34"/>
      <c r="G97" s="1"/>
    </row>
    <row r="98" customFormat="false" ht="15" hidden="false" customHeight="false" outlineLevel="0" collapsed="false">
      <c r="A98" s="1"/>
      <c r="B98" s="33"/>
      <c r="C98" s="35"/>
      <c r="D98" s="35"/>
      <c r="E98" s="35"/>
      <c r="F98" s="34"/>
      <c r="G98" s="1"/>
    </row>
    <row r="99" customFormat="false" ht="15" hidden="false" customHeight="false" outlineLevel="0" collapsed="false">
      <c r="A99" s="1"/>
      <c r="B99" s="33"/>
      <c r="C99" s="35"/>
      <c r="D99" s="35"/>
      <c r="E99" s="35"/>
      <c r="F99" s="34"/>
      <c r="G99" s="1"/>
    </row>
    <row r="100" customFormat="false" ht="15" hidden="false" customHeight="false" outlineLevel="0" collapsed="false">
      <c r="A100" s="1"/>
      <c r="B100" s="33"/>
      <c r="C100" s="35"/>
      <c r="D100" s="35"/>
      <c r="E100" s="35"/>
      <c r="F100" s="34"/>
      <c r="G100" s="1"/>
    </row>
    <row r="101" customFormat="false" ht="15" hidden="false" customHeight="false" outlineLevel="0" collapsed="false">
      <c r="A101" s="1"/>
      <c r="B101" s="33"/>
      <c r="C101" s="35"/>
      <c r="D101" s="35"/>
      <c r="E101" s="35"/>
      <c r="F101" s="34"/>
      <c r="G101" s="1"/>
    </row>
    <row r="102" customFormat="false" ht="15" hidden="false" customHeight="false" outlineLevel="0" collapsed="false">
      <c r="A102" s="1"/>
      <c r="B102" s="33"/>
      <c r="C102" s="35"/>
      <c r="D102" s="35"/>
      <c r="E102" s="35"/>
      <c r="F102" s="34"/>
      <c r="G102" s="1"/>
    </row>
    <row r="103" customFormat="false" ht="15" hidden="false" customHeight="false" outlineLevel="0" collapsed="false">
      <c r="A103" s="1"/>
      <c r="B103" s="33"/>
      <c r="C103" s="35"/>
      <c r="D103" s="35"/>
      <c r="E103" s="35"/>
      <c r="F103" s="34"/>
      <c r="G103" s="1"/>
    </row>
    <row r="104" customFormat="false" ht="15" hidden="false" customHeight="false" outlineLevel="0" collapsed="false">
      <c r="A104" s="1"/>
      <c r="B104" s="33"/>
      <c r="C104" s="35"/>
      <c r="D104" s="35"/>
      <c r="E104" s="35"/>
      <c r="F104" s="34"/>
      <c r="G104" s="1"/>
    </row>
    <row r="105" customFormat="false" ht="15" hidden="false" customHeight="false" outlineLevel="0" collapsed="false">
      <c r="A105" s="1"/>
      <c r="B105" s="33"/>
      <c r="C105" s="35"/>
      <c r="D105" s="35"/>
      <c r="E105" s="35"/>
      <c r="F105" s="34"/>
      <c r="G105" s="1"/>
    </row>
    <row r="106" customFormat="false" ht="15" hidden="false" customHeight="false" outlineLevel="0" collapsed="false">
      <c r="A106" s="1"/>
      <c r="B106" s="33"/>
      <c r="C106" s="35"/>
      <c r="D106" s="35"/>
      <c r="E106" s="35"/>
      <c r="F106" s="34"/>
      <c r="G106" s="1"/>
    </row>
    <row r="107" customFormat="false" ht="15" hidden="false" customHeight="false" outlineLevel="0" collapsed="false">
      <c r="A107" s="1"/>
      <c r="B107" s="33"/>
      <c r="C107" s="35"/>
      <c r="D107" s="35"/>
      <c r="E107" s="35"/>
      <c r="F107" s="34"/>
      <c r="G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</row>
    <row r="109" customFormat="false" ht="15" hidden="false" customHeight="false" outlineLevel="0" collapsed="false">
      <c r="A109" s="1"/>
      <c r="B109" s="11" t="s">
        <v>90</v>
      </c>
      <c r="C109" s="1"/>
      <c r="D109" s="1"/>
      <c r="E109" s="1"/>
      <c r="F109" s="1"/>
      <c r="G109" s="1"/>
    </row>
  </sheetData>
  <dataValidations count="2">
    <dataValidation allowBlank="true" error="That doesn't look like a date. Double-click the box to pick one from the calendar." errorStyle="stop" operator="greaterThan" showDropDown="false" showErrorMessage="true" showInputMessage="false" sqref="B8:B107" type="date">
      <formula1>36526</formula1>
      <formula2>0</formula2>
    </dataValidation>
    <dataValidation allowBlank="true" errorStyle="stop" operator="between" showDropDown="false" showErrorMessage="false" showInputMessage="false" sqref="E8:E107" type="list">
      <formula1>"Meetings &amp; hospitality,Travel &amp; parking,Materials &amp; assets for clients,Software &amp; licences,Other"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BBBBB"/>
    <pageSetUpPr fitToPage="false"/>
  </sheetPr>
  <dimension ref="A1:J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9.75" hidden="false" customHeight="true" outlineLevel="0" collapsed="false">
      <c r="A2" s="1"/>
      <c r="B2" s="2" t="s">
        <v>91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3" t="s">
        <v>92</v>
      </c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</row>
    <row r="6" customFormat="false" ht="27.75" hidden="false" customHeight="true" outlineLevel="0" collapsed="false">
      <c r="A6" s="1"/>
      <c r="B6" s="31" t="s">
        <v>93</v>
      </c>
      <c r="C6" s="31" t="s">
        <v>94</v>
      </c>
      <c r="D6" s="31" t="s">
        <v>95</v>
      </c>
      <c r="E6" s="31" t="s">
        <v>96</v>
      </c>
      <c r="F6" s="31" t="s">
        <v>97</v>
      </c>
      <c r="G6" s="31" t="s">
        <v>98</v>
      </c>
      <c r="H6" s="31" t="s">
        <v>99</v>
      </c>
      <c r="I6" s="1"/>
      <c r="J6" s="1"/>
    </row>
    <row r="7" customFormat="false" ht="15" hidden="false" customHeight="false" outlineLevel="0" collapsed="false">
      <c r="A7" s="1"/>
      <c r="B7" s="32" t="s">
        <v>100</v>
      </c>
      <c r="C7" s="32" t="s">
        <v>77</v>
      </c>
      <c r="D7" s="32" t="s">
        <v>101</v>
      </c>
      <c r="E7" s="32" t="s">
        <v>102</v>
      </c>
      <c r="F7" s="32" t="s">
        <v>103</v>
      </c>
      <c r="G7" s="1"/>
      <c r="H7" s="1"/>
      <c r="I7" s="1"/>
      <c r="J7" s="1"/>
    </row>
    <row r="8" customFormat="false" ht="15" hidden="false" customHeight="false" outlineLevel="0" collapsed="false">
      <c r="A8" s="1"/>
      <c r="B8" s="35"/>
      <c r="C8" s="34"/>
      <c r="D8" s="35"/>
      <c r="E8" s="35"/>
      <c r="F8" s="35"/>
      <c r="G8" s="36" t="str">
        <f aca="true">IF(OR(C8="",E8=""),"",IF(D8="Yearly",IF(F8="","pick a month →",IF(I8=MONTH(TODAY()),IF(E8&gt;DAY(TODAY()),"still to pay","paid ✓"),"not this month")),IF(E8&gt;DAY(TODAY()),"still to pay","paid ✓")))</f>
        <v/>
      </c>
      <c r="H8" s="37" t="str">
        <f aca="true">IF(OR(C8="",E8=""),"",IF(D8="Yearly",IF(F8="","",IF(DATE(YEAR(TODAY()),I8,E8)&gt;TODAY(),DATE(YEAR(TODAY()),I8,E8),DATE(YEAR(TODAY())+1,I8,E8))),IF(E8&gt;DAY(TODAY()),DATE(YEAR(TODAY()),MONTH(TODAY()),E8),DATE(YEAR(TODAY()),MONTH(TODAY())+1,E8))))</f>
        <v/>
      </c>
      <c r="I8" s="38" t="str">
        <f aca="false">IF(F8="","",MATCH(F8,{"Jan","Feb","Mar","Apr","May","Jun","Jul","Aug","Sep","Oct","Nov","Dec"},0))</f>
        <v/>
      </c>
      <c r="J8" s="1"/>
    </row>
    <row r="9" customFormat="false" ht="15" hidden="false" customHeight="false" outlineLevel="0" collapsed="false">
      <c r="A9" s="1"/>
      <c r="B9" s="35"/>
      <c r="C9" s="34"/>
      <c r="D9" s="35"/>
      <c r="E9" s="35"/>
      <c r="F9" s="35"/>
      <c r="G9" s="36" t="str">
        <f aca="true">IF(OR(C9="",E9=""),"",IF(D9="Yearly",IF(F9="","pick a month →",IF(I9=MONTH(TODAY()),IF(E9&gt;DAY(TODAY()),"still to pay","paid ✓"),"not this month")),IF(E9&gt;DAY(TODAY()),"still to pay","paid ✓")))</f>
        <v/>
      </c>
      <c r="H9" s="37" t="str">
        <f aca="true">IF(OR(C9="",E9=""),"",IF(D9="Yearly",IF(F9="","",IF(DATE(YEAR(TODAY()),I9,E9)&gt;TODAY(),DATE(YEAR(TODAY()),I9,E9),DATE(YEAR(TODAY())+1,I9,E9))),IF(E9&gt;DAY(TODAY()),DATE(YEAR(TODAY()),MONTH(TODAY()),E9),DATE(YEAR(TODAY()),MONTH(TODAY())+1,E9))))</f>
        <v/>
      </c>
      <c r="I9" s="38" t="str">
        <f aca="false">IF(F9="","",MATCH(F9,{"Jan","Feb","Mar","Apr","May","Jun","Jul","Aug","Sep","Oct","Nov","Dec"},0))</f>
        <v/>
      </c>
      <c r="J9" s="1"/>
    </row>
    <row r="10" customFormat="false" ht="15" hidden="false" customHeight="false" outlineLevel="0" collapsed="false">
      <c r="A10" s="1"/>
      <c r="B10" s="35"/>
      <c r="C10" s="34"/>
      <c r="D10" s="35"/>
      <c r="E10" s="35"/>
      <c r="F10" s="35"/>
      <c r="G10" s="36" t="str">
        <f aca="true">IF(OR(C10="",E10=""),"",IF(D10="Yearly",IF(F10="","pick a month →",IF(I10=MONTH(TODAY()),IF(E10&gt;DAY(TODAY()),"still to pay","paid ✓"),"not this month")),IF(E10&gt;DAY(TODAY()),"still to pay","paid ✓")))</f>
        <v/>
      </c>
      <c r="H10" s="37" t="str">
        <f aca="true">IF(OR(C10="",E10=""),"",IF(D10="Yearly",IF(F10="","",IF(DATE(YEAR(TODAY()),I10,E10)&gt;TODAY(),DATE(YEAR(TODAY()),I10,E10),DATE(YEAR(TODAY())+1,I10,E10))),IF(E10&gt;DAY(TODAY()),DATE(YEAR(TODAY()),MONTH(TODAY()),E10),DATE(YEAR(TODAY()),MONTH(TODAY())+1,E10))))</f>
        <v/>
      </c>
      <c r="I10" s="38" t="str">
        <f aca="false">IF(F10="","",MATCH(F10,{"Jan","Feb","Mar","Apr","May","Jun","Jul","Aug","Sep","Oct","Nov","Dec"},0))</f>
        <v/>
      </c>
      <c r="J10" s="1"/>
    </row>
    <row r="11" customFormat="false" ht="15" hidden="false" customHeight="false" outlineLevel="0" collapsed="false">
      <c r="A11" s="1"/>
      <c r="B11" s="35"/>
      <c r="C11" s="34"/>
      <c r="D11" s="35"/>
      <c r="E11" s="35"/>
      <c r="F11" s="35"/>
      <c r="G11" s="36" t="str">
        <f aca="true">IF(OR(C11="",E11=""),"",IF(D11="Yearly",IF(F11="","pick a month →",IF(I11=MONTH(TODAY()),IF(E11&gt;DAY(TODAY()),"still to pay","paid ✓"),"not this month")),IF(E11&gt;DAY(TODAY()),"still to pay","paid ✓")))</f>
        <v/>
      </c>
      <c r="H11" s="37" t="str">
        <f aca="true">IF(OR(C11="",E11=""),"",IF(D11="Yearly",IF(F11="","",IF(DATE(YEAR(TODAY()),I11,E11)&gt;TODAY(),DATE(YEAR(TODAY()),I11,E11),DATE(YEAR(TODAY())+1,I11,E11))),IF(E11&gt;DAY(TODAY()),DATE(YEAR(TODAY()),MONTH(TODAY()),E11),DATE(YEAR(TODAY()),MONTH(TODAY())+1,E11))))</f>
        <v/>
      </c>
      <c r="I11" s="38" t="str">
        <f aca="false">IF(F11="","",MATCH(F11,{"Jan","Feb","Mar","Apr","May","Jun","Jul","Aug","Sep","Oct","Nov","Dec"},0))</f>
        <v/>
      </c>
      <c r="J11" s="1"/>
    </row>
    <row r="12" customFormat="false" ht="15" hidden="false" customHeight="false" outlineLevel="0" collapsed="false">
      <c r="A12" s="1"/>
      <c r="B12" s="35"/>
      <c r="C12" s="34"/>
      <c r="D12" s="35"/>
      <c r="E12" s="35"/>
      <c r="F12" s="35"/>
      <c r="G12" s="36" t="str">
        <f aca="true">IF(OR(C12="",E12=""),"",IF(D12="Yearly",IF(F12="","pick a month →",IF(I12=MONTH(TODAY()),IF(E12&gt;DAY(TODAY()),"still to pay","paid ✓"),"not this month")),IF(E12&gt;DAY(TODAY()),"still to pay","paid ✓")))</f>
        <v/>
      </c>
      <c r="H12" s="37" t="str">
        <f aca="true">IF(OR(C12="",E12=""),"",IF(D12="Yearly",IF(F12="","",IF(DATE(YEAR(TODAY()),I12,E12)&gt;TODAY(),DATE(YEAR(TODAY()),I12,E12),DATE(YEAR(TODAY())+1,I12,E12))),IF(E12&gt;DAY(TODAY()),DATE(YEAR(TODAY()),MONTH(TODAY()),E12),DATE(YEAR(TODAY()),MONTH(TODAY())+1,E12))))</f>
        <v/>
      </c>
      <c r="I12" s="38" t="str">
        <f aca="false">IF(F12="","",MATCH(F12,{"Jan","Feb","Mar","Apr","May","Jun","Jul","Aug","Sep","Oct","Nov","Dec"},0))</f>
        <v/>
      </c>
      <c r="J12" s="1"/>
    </row>
    <row r="13" customFormat="false" ht="15" hidden="false" customHeight="false" outlineLevel="0" collapsed="false">
      <c r="A13" s="1"/>
      <c r="B13" s="35"/>
      <c r="C13" s="34"/>
      <c r="D13" s="35"/>
      <c r="E13" s="35"/>
      <c r="F13" s="35"/>
      <c r="G13" s="36" t="str">
        <f aca="true">IF(OR(C13="",E13=""),"",IF(D13="Yearly",IF(F13="","pick a month →",IF(I13=MONTH(TODAY()),IF(E13&gt;DAY(TODAY()),"still to pay","paid ✓"),"not this month")),IF(E13&gt;DAY(TODAY()),"still to pay","paid ✓")))</f>
        <v/>
      </c>
      <c r="H13" s="37" t="str">
        <f aca="true">IF(OR(C13="",E13=""),"",IF(D13="Yearly",IF(F13="","",IF(DATE(YEAR(TODAY()),I13,E13)&gt;TODAY(),DATE(YEAR(TODAY()),I13,E13),DATE(YEAR(TODAY())+1,I13,E13))),IF(E13&gt;DAY(TODAY()),DATE(YEAR(TODAY()),MONTH(TODAY()),E13),DATE(YEAR(TODAY()),MONTH(TODAY())+1,E13))))</f>
        <v/>
      </c>
      <c r="I13" s="38" t="str">
        <f aca="false">IF(F13="","",MATCH(F13,{"Jan","Feb","Mar","Apr","May","Jun","Jul","Aug","Sep","Oct","Nov","Dec"},0))</f>
        <v/>
      </c>
      <c r="J13" s="1"/>
    </row>
    <row r="14" customFormat="false" ht="15" hidden="false" customHeight="false" outlineLevel="0" collapsed="false">
      <c r="A14" s="1"/>
      <c r="B14" s="35"/>
      <c r="C14" s="34"/>
      <c r="D14" s="35"/>
      <c r="E14" s="35"/>
      <c r="F14" s="35"/>
      <c r="G14" s="36" t="str">
        <f aca="true">IF(OR(C14="",E14=""),"",IF(D14="Yearly",IF(F14="","pick a month →",IF(I14=MONTH(TODAY()),IF(E14&gt;DAY(TODAY()),"still to pay","paid ✓"),"not this month")),IF(E14&gt;DAY(TODAY()),"still to pay","paid ✓")))</f>
        <v/>
      </c>
      <c r="H14" s="37" t="str">
        <f aca="true">IF(OR(C14="",E14=""),"",IF(D14="Yearly",IF(F14="","",IF(DATE(YEAR(TODAY()),I14,E14)&gt;TODAY(),DATE(YEAR(TODAY()),I14,E14),DATE(YEAR(TODAY())+1,I14,E14))),IF(E14&gt;DAY(TODAY()),DATE(YEAR(TODAY()),MONTH(TODAY()),E14),DATE(YEAR(TODAY()),MONTH(TODAY())+1,E14))))</f>
        <v/>
      </c>
      <c r="I14" s="38" t="str">
        <f aca="false">IF(F14="","",MATCH(F14,{"Jan","Feb","Mar","Apr","May","Jun","Jul","Aug","Sep","Oct","Nov","Dec"},0))</f>
        <v/>
      </c>
      <c r="J14" s="1"/>
    </row>
    <row r="15" customFormat="false" ht="15" hidden="false" customHeight="false" outlineLevel="0" collapsed="false">
      <c r="A15" s="1"/>
      <c r="B15" s="35"/>
      <c r="C15" s="34"/>
      <c r="D15" s="35"/>
      <c r="E15" s="35"/>
      <c r="F15" s="35"/>
      <c r="G15" s="36" t="str">
        <f aca="true">IF(OR(C15="",E15=""),"",IF(D15="Yearly",IF(F15="","pick a month →",IF(I15=MONTH(TODAY()),IF(E15&gt;DAY(TODAY()),"still to pay","paid ✓"),"not this month")),IF(E15&gt;DAY(TODAY()),"still to pay","paid ✓")))</f>
        <v/>
      </c>
      <c r="H15" s="37" t="str">
        <f aca="true">IF(OR(C15="",E15=""),"",IF(D15="Yearly",IF(F15="","",IF(DATE(YEAR(TODAY()),I15,E15)&gt;TODAY(),DATE(YEAR(TODAY()),I15,E15),DATE(YEAR(TODAY())+1,I15,E15))),IF(E15&gt;DAY(TODAY()),DATE(YEAR(TODAY()),MONTH(TODAY()),E15),DATE(YEAR(TODAY()),MONTH(TODAY())+1,E15))))</f>
        <v/>
      </c>
      <c r="I15" s="38" t="str">
        <f aca="false">IF(F15="","",MATCH(F15,{"Jan","Feb","Mar","Apr","May","Jun","Jul","Aug","Sep","Oct","Nov","Dec"},0))</f>
        <v/>
      </c>
      <c r="J15" s="1"/>
    </row>
    <row r="16" customFormat="false" ht="15" hidden="false" customHeight="false" outlineLevel="0" collapsed="false">
      <c r="A16" s="1"/>
      <c r="B16" s="35"/>
      <c r="C16" s="34"/>
      <c r="D16" s="35"/>
      <c r="E16" s="35"/>
      <c r="F16" s="35"/>
      <c r="G16" s="36" t="str">
        <f aca="true">IF(OR(C16="",E16=""),"",IF(D16="Yearly",IF(F16="","pick a month →",IF(I16=MONTH(TODAY()),IF(E16&gt;DAY(TODAY()),"still to pay","paid ✓"),"not this month")),IF(E16&gt;DAY(TODAY()),"still to pay","paid ✓")))</f>
        <v/>
      </c>
      <c r="H16" s="37" t="str">
        <f aca="true">IF(OR(C16="",E16=""),"",IF(D16="Yearly",IF(F16="","",IF(DATE(YEAR(TODAY()),I16,E16)&gt;TODAY(),DATE(YEAR(TODAY()),I16,E16),DATE(YEAR(TODAY())+1,I16,E16))),IF(E16&gt;DAY(TODAY()),DATE(YEAR(TODAY()),MONTH(TODAY()),E16),DATE(YEAR(TODAY()),MONTH(TODAY())+1,E16))))</f>
        <v/>
      </c>
      <c r="I16" s="38" t="str">
        <f aca="false">IF(F16="","",MATCH(F16,{"Jan","Feb","Mar","Apr","May","Jun","Jul","Aug","Sep","Oct","Nov","Dec"},0))</f>
        <v/>
      </c>
      <c r="J16" s="1"/>
    </row>
    <row r="17" customFormat="false" ht="15" hidden="false" customHeight="false" outlineLevel="0" collapsed="false">
      <c r="A17" s="1"/>
      <c r="B17" s="35"/>
      <c r="C17" s="34"/>
      <c r="D17" s="35"/>
      <c r="E17" s="35"/>
      <c r="F17" s="35"/>
      <c r="G17" s="36" t="str">
        <f aca="true">IF(OR(C17="",E17=""),"",IF(D17="Yearly",IF(F17="","pick a month →",IF(I17=MONTH(TODAY()),IF(E17&gt;DAY(TODAY()),"still to pay","paid ✓"),"not this month")),IF(E17&gt;DAY(TODAY()),"still to pay","paid ✓")))</f>
        <v/>
      </c>
      <c r="H17" s="37" t="str">
        <f aca="true">IF(OR(C17="",E17=""),"",IF(D17="Yearly",IF(F17="","",IF(DATE(YEAR(TODAY()),I17,E17)&gt;TODAY(),DATE(YEAR(TODAY()),I17,E17),DATE(YEAR(TODAY())+1,I17,E17))),IF(E17&gt;DAY(TODAY()),DATE(YEAR(TODAY()),MONTH(TODAY()),E17),DATE(YEAR(TODAY()),MONTH(TODAY())+1,E17))))</f>
        <v/>
      </c>
      <c r="I17" s="38" t="str">
        <f aca="false">IF(F17="","",MATCH(F17,{"Jan","Feb","Mar","Apr","May","Jun","Jul","Aug","Sep","Oct","Nov","Dec"},0))</f>
        <v/>
      </c>
      <c r="J17" s="1"/>
    </row>
    <row r="18" customFormat="false" ht="15" hidden="false" customHeight="false" outlineLevel="0" collapsed="false">
      <c r="A18" s="1"/>
      <c r="B18" s="35"/>
      <c r="C18" s="34"/>
      <c r="D18" s="35"/>
      <c r="E18" s="35"/>
      <c r="F18" s="35"/>
      <c r="G18" s="36" t="str">
        <f aca="true">IF(OR(C18="",E18=""),"",IF(D18="Yearly",IF(F18="","pick a month →",IF(I18=MONTH(TODAY()),IF(E18&gt;DAY(TODAY()),"still to pay","paid ✓"),"not this month")),IF(E18&gt;DAY(TODAY()),"still to pay","paid ✓")))</f>
        <v/>
      </c>
      <c r="H18" s="37" t="str">
        <f aca="true">IF(OR(C18="",E18=""),"",IF(D18="Yearly",IF(F18="","",IF(DATE(YEAR(TODAY()),I18,E18)&gt;TODAY(),DATE(YEAR(TODAY()),I18,E18),DATE(YEAR(TODAY())+1,I18,E18))),IF(E18&gt;DAY(TODAY()),DATE(YEAR(TODAY()),MONTH(TODAY()),E18),DATE(YEAR(TODAY()),MONTH(TODAY())+1,E18))))</f>
        <v/>
      </c>
      <c r="I18" s="38" t="str">
        <f aca="false">IF(F18="","",MATCH(F18,{"Jan","Feb","Mar","Apr","May","Jun","Jul","Aug","Sep","Oct","Nov","Dec"},0))</f>
        <v/>
      </c>
      <c r="J18" s="1"/>
    </row>
    <row r="19" customFormat="false" ht="15" hidden="false" customHeight="false" outlineLevel="0" collapsed="false">
      <c r="A19" s="1"/>
      <c r="B19" s="35"/>
      <c r="C19" s="34"/>
      <c r="D19" s="35"/>
      <c r="E19" s="35"/>
      <c r="F19" s="35"/>
      <c r="G19" s="36" t="str">
        <f aca="true">IF(OR(C19="",E19=""),"",IF(D19="Yearly",IF(F19="","pick a month →",IF(I19=MONTH(TODAY()),IF(E19&gt;DAY(TODAY()),"still to pay","paid ✓"),"not this month")),IF(E19&gt;DAY(TODAY()),"still to pay","paid ✓")))</f>
        <v/>
      </c>
      <c r="H19" s="37" t="str">
        <f aca="true">IF(OR(C19="",E19=""),"",IF(D19="Yearly",IF(F19="","",IF(DATE(YEAR(TODAY()),I19,E19)&gt;TODAY(),DATE(YEAR(TODAY()),I19,E19),DATE(YEAR(TODAY())+1,I19,E19))),IF(E19&gt;DAY(TODAY()),DATE(YEAR(TODAY()),MONTH(TODAY()),E19),DATE(YEAR(TODAY()),MONTH(TODAY())+1,E19))))</f>
        <v/>
      </c>
      <c r="I19" s="38" t="str">
        <f aca="false">IF(F19="","",MATCH(F19,{"Jan","Feb","Mar","Apr","May","Jun","Jul","Aug","Sep","Oct","Nov","Dec"},0))</f>
        <v/>
      </c>
      <c r="J19" s="1"/>
    </row>
    <row r="20" customFormat="false" ht="15" hidden="false" customHeight="false" outlineLevel="0" collapsed="false">
      <c r="A20" s="1"/>
      <c r="B20" s="35"/>
      <c r="C20" s="34"/>
      <c r="D20" s="35"/>
      <c r="E20" s="35"/>
      <c r="F20" s="35"/>
      <c r="G20" s="36" t="str">
        <f aca="true">IF(OR(C20="",E20=""),"",IF(D20="Yearly",IF(F20="","pick a month →",IF(I20=MONTH(TODAY()),IF(E20&gt;DAY(TODAY()),"still to pay","paid ✓"),"not this month")),IF(E20&gt;DAY(TODAY()),"still to pay","paid ✓")))</f>
        <v/>
      </c>
      <c r="H20" s="37" t="str">
        <f aca="true">IF(OR(C20="",E20=""),"",IF(D20="Yearly",IF(F20="","",IF(DATE(YEAR(TODAY()),I20,E20)&gt;TODAY(),DATE(YEAR(TODAY()),I20,E20),DATE(YEAR(TODAY())+1,I20,E20))),IF(E20&gt;DAY(TODAY()),DATE(YEAR(TODAY()),MONTH(TODAY()),E20),DATE(YEAR(TODAY()),MONTH(TODAY())+1,E20))))</f>
        <v/>
      </c>
      <c r="I20" s="38" t="str">
        <f aca="false">IF(F20="","",MATCH(F20,{"Jan","Feb","Mar","Apr","May","Jun","Jul","Aug","Sep","Oct","Nov","Dec"},0))</f>
        <v/>
      </c>
      <c r="J20" s="1"/>
    </row>
    <row r="21" customFormat="false" ht="15" hidden="false" customHeight="false" outlineLevel="0" collapsed="false">
      <c r="A21" s="1"/>
      <c r="B21" s="35"/>
      <c r="C21" s="34"/>
      <c r="D21" s="35"/>
      <c r="E21" s="35"/>
      <c r="F21" s="35"/>
      <c r="G21" s="36" t="str">
        <f aca="true">IF(OR(C21="",E21=""),"",IF(D21="Yearly",IF(F21="","pick a month →",IF(I21=MONTH(TODAY()),IF(E21&gt;DAY(TODAY()),"still to pay","paid ✓"),"not this month")),IF(E21&gt;DAY(TODAY()),"still to pay","paid ✓")))</f>
        <v/>
      </c>
      <c r="H21" s="37" t="str">
        <f aca="true">IF(OR(C21="",E21=""),"",IF(D21="Yearly",IF(F21="","",IF(DATE(YEAR(TODAY()),I21,E21)&gt;TODAY(),DATE(YEAR(TODAY()),I21,E21),DATE(YEAR(TODAY())+1,I21,E21))),IF(E21&gt;DAY(TODAY()),DATE(YEAR(TODAY()),MONTH(TODAY()),E21),DATE(YEAR(TODAY()),MONTH(TODAY())+1,E21))))</f>
        <v/>
      </c>
      <c r="I21" s="38" t="str">
        <f aca="false">IF(F21="","",MATCH(F21,{"Jan","Feb","Mar","Apr","May","Jun","Jul","Aug","Sep","Oct","Nov","Dec"},0))</f>
        <v/>
      </c>
      <c r="J21" s="1"/>
    </row>
    <row r="22" customFormat="false" ht="15" hidden="false" customHeight="false" outlineLevel="0" collapsed="false">
      <c r="A22" s="1"/>
      <c r="B22" s="35"/>
      <c r="C22" s="34"/>
      <c r="D22" s="35"/>
      <c r="E22" s="35"/>
      <c r="F22" s="35"/>
      <c r="G22" s="36" t="str">
        <f aca="true">IF(OR(C22="",E22=""),"",IF(D22="Yearly",IF(F22="","pick a month →",IF(I22=MONTH(TODAY()),IF(E22&gt;DAY(TODAY()),"still to pay","paid ✓"),"not this month")),IF(E22&gt;DAY(TODAY()),"still to pay","paid ✓")))</f>
        <v/>
      </c>
      <c r="H22" s="37" t="str">
        <f aca="true">IF(OR(C22="",E22=""),"",IF(D22="Yearly",IF(F22="","",IF(DATE(YEAR(TODAY()),I22,E22)&gt;TODAY(),DATE(YEAR(TODAY()),I22,E22),DATE(YEAR(TODAY())+1,I22,E22))),IF(E22&gt;DAY(TODAY()),DATE(YEAR(TODAY()),MONTH(TODAY()),E22),DATE(YEAR(TODAY()),MONTH(TODAY())+1,E22))))</f>
        <v/>
      </c>
      <c r="I22" s="38" t="str">
        <f aca="false">IF(F22="","",MATCH(F22,{"Jan","Feb","Mar","Apr","May","Jun","Jul","Aug","Sep","Oct","Nov","Dec"},0))</f>
        <v/>
      </c>
      <c r="J22" s="1"/>
    </row>
    <row r="23" customFormat="false" ht="15" hidden="false" customHeight="false" outlineLevel="0" collapsed="false">
      <c r="A23" s="1"/>
      <c r="B23" s="35"/>
      <c r="C23" s="34"/>
      <c r="D23" s="35"/>
      <c r="E23" s="35"/>
      <c r="F23" s="35"/>
      <c r="G23" s="36" t="str">
        <f aca="true">IF(OR(C23="",E23=""),"",IF(D23="Yearly",IF(F23="","pick a month →",IF(I23=MONTH(TODAY()),IF(E23&gt;DAY(TODAY()),"still to pay","paid ✓"),"not this month")),IF(E23&gt;DAY(TODAY()),"still to pay","paid ✓")))</f>
        <v/>
      </c>
      <c r="H23" s="37" t="str">
        <f aca="true">IF(OR(C23="",E23=""),"",IF(D23="Yearly",IF(F23="","",IF(DATE(YEAR(TODAY()),I23,E23)&gt;TODAY(),DATE(YEAR(TODAY()),I23,E23),DATE(YEAR(TODAY())+1,I23,E23))),IF(E23&gt;DAY(TODAY()),DATE(YEAR(TODAY()),MONTH(TODAY()),E23),DATE(YEAR(TODAY()),MONTH(TODAY())+1,E23))))</f>
        <v/>
      </c>
      <c r="I23" s="38" t="str">
        <f aca="false">IF(F23="","",MATCH(F23,{"Jan","Feb","Mar","Apr","May","Jun","Jul","Aug","Sep","Oct","Nov","Dec"},0))</f>
        <v/>
      </c>
      <c r="J23" s="1"/>
    </row>
    <row r="24" customFormat="false" ht="15" hidden="false" customHeight="false" outlineLevel="0" collapsed="false">
      <c r="A24" s="1"/>
      <c r="B24" s="35"/>
      <c r="C24" s="34"/>
      <c r="D24" s="35"/>
      <c r="E24" s="35"/>
      <c r="F24" s="35"/>
      <c r="G24" s="36" t="str">
        <f aca="true">IF(OR(C24="",E24=""),"",IF(D24="Yearly",IF(F24="","pick a month →",IF(I24=MONTH(TODAY()),IF(E24&gt;DAY(TODAY()),"still to pay","paid ✓"),"not this month")),IF(E24&gt;DAY(TODAY()),"still to pay","paid ✓")))</f>
        <v/>
      </c>
      <c r="H24" s="37" t="str">
        <f aca="true">IF(OR(C24="",E24=""),"",IF(D24="Yearly",IF(F24="","",IF(DATE(YEAR(TODAY()),I24,E24)&gt;TODAY(),DATE(YEAR(TODAY()),I24,E24),DATE(YEAR(TODAY())+1,I24,E24))),IF(E24&gt;DAY(TODAY()),DATE(YEAR(TODAY()),MONTH(TODAY()),E24),DATE(YEAR(TODAY()),MONTH(TODAY())+1,E24))))</f>
        <v/>
      </c>
      <c r="I24" s="38" t="str">
        <f aca="false">IF(F24="","",MATCH(F24,{"Jan","Feb","Mar","Apr","May","Jun","Jul","Aug","Sep","Oct","Nov","Dec"},0))</f>
        <v/>
      </c>
      <c r="J24" s="1"/>
    </row>
    <row r="25" customFormat="false" ht="15" hidden="false" customHeight="false" outlineLevel="0" collapsed="false">
      <c r="A25" s="1"/>
      <c r="B25" s="35"/>
      <c r="C25" s="34"/>
      <c r="D25" s="35"/>
      <c r="E25" s="35"/>
      <c r="F25" s="35"/>
      <c r="G25" s="36" t="str">
        <f aca="true">IF(OR(C25="",E25=""),"",IF(D25="Yearly",IF(F25="","pick a month →",IF(I25=MONTH(TODAY()),IF(E25&gt;DAY(TODAY()),"still to pay","paid ✓"),"not this month")),IF(E25&gt;DAY(TODAY()),"still to pay","paid ✓")))</f>
        <v/>
      </c>
      <c r="H25" s="37" t="str">
        <f aca="true">IF(OR(C25="",E25=""),"",IF(D25="Yearly",IF(F25="","",IF(DATE(YEAR(TODAY()),I25,E25)&gt;TODAY(),DATE(YEAR(TODAY()),I25,E25),DATE(YEAR(TODAY())+1,I25,E25))),IF(E25&gt;DAY(TODAY()),DATE(YEAR(TODAY()),MONTH(TODAY()),E25),DATE(YEAR(TODAY()),MONTH(TODAY())+1,E25))))</f>
        <v/>
      </c>
      <c r="I25" s="38" t="str">
        <f aca="false">IF(F25="","",MATCH(F25,{"Jan","Feb","Mar","Apr","May","Jun","Jul","Aug","Sep","Oct","Nov","Dec"},0))</f>
        <v/>
      </c>
      <c r="J25" s="1"/>
    </row>
    <row r="26" customFormat="false" ht="15" hidden="false" customHeight="false" outlineLevel="0" collapsed="false">
      <c r="A26" s="1"/>
      <c r="B26" s="35"/>
      <c r="C26" s="34"/>
      <c r="D26" s="35"/>
      <c r="E26" s="35"/>
      <c r="F26" s="35"/>
      <c r="G26" s="36" t="str">
        <f aca="true">IF(OR(C26="",E26=""),"",IF(D26="Yearly",IF(F26="","pick a month →",IF(I26=MONTH(TODAY()),IF(E26&gt;DAY(TODAY()),"still to pay","paid ✓"),"not this month")),IF(E26&gt;DAY(TODAY()),"still to pay","paid ✓")))</f>
        <v/>
      </c>
      <c r="H26" s="37" t="str">
        <f aca="true">IF(OR(C26="",E26=""),"",IF(D26="Yearly",IF(F26="","",IF(DATE(YEAR(TODAY()),I26,E26)&gt;TODAY(),DATE(YEAR(TODAY()),I26,E26),DATE(YEAR(TODAY())+1,I26,E26))),IF(E26&gt;DAY(TODAY()),DATE(YEAR(TODAY()),MONTH(TODAY()),E26),DATE(YEAR(TODAY()),MONTH(TODAY())+1,E26))))</f>
        <v/>
      </c>
      <c r="I26" s="38" t="str">
        <f aca="false">IF(F26="","",MATCH(F26,{"Jan","Feb","Mar","Apr","May","Jun","Jul","Aug","Sep","Oct","Nov","Dec"},0))</f>
        <v/>
      </c>
      <c r="J26" s="1"/>
    </row>
    <row r="27" customFormat="false" ht="15" hidden="false" customHeight="false" outlineLevel="0" collapsed="false">
      <c r="A27" s="1"/>
      <c r="B27" s="35"/>
      <c r="C27" s="34"/>
      <c r="D27" s="35"/>
      <c r="E27" s="35"/>
      <c r="F27" s="35"/>
      <c r="G27" s="36" t="str">
        <f aca="true">IF(OR(C27="",E27=""),"",IF(D27="Yearly",IF(F27="","pick a month →",IF(I27=MONTH(TODAY()),IF(E27&gt;DAY(TODAY()),"still to pay","paid ✓"),"not this month")),IF(E27&gt;DAY(TODAY()),"still to pay","paid ✓")))</f>
        <v/>
      </c>
      <c r="H27" s="37" t="str">
        <f aca="true">IF(OR(C27="",E27=""),"",IF(D27="Yearly",IF(F27="","",IF(DATE(YEAR(TODAY()),I27,E27)&gt;TODAY(),DATE(YEAR(TODAY()),I27,E27),DATE(YEAR(TODAY())+1,I27,E27))),IF(E27&gt;DAY(TODAY()),DATE(YEAR(TODAY()),MONTH(TODAY()),E27),DATE(YEAR(TODAY()),MONTH(TODAY())+1,E27))))</f>
        <v/>
      </c>
      <c r="I27" s="38" t="str">
        <f aca="false">IF(F27="","",MATCH(F27,{"Jan","Feb","Mar","Apr","May","Jun","Jul","Aug","Sep","Oct","Nov","Dec"},0))</f>
        <v/>
      </c>
      <c r="J27" s="1"/>
    </row>
    <row r="28" customFormat="false" ht="15" hidden="false" customHeight="false" outlineLevel="0" collapsed="false">
      <c r="A28" s="1"/>
      <c r="B28" s="35"/>
      <c r="C28" s="34"/>
      <c r="D28" s="35"/>
      <c r="E28" s="35"/>
      <c r="F28" s="35"/>
      <c r="G28" s="36" t="str">
        <f aca="true">IF(OR(C28="",E28=""),"",IF(D28="Yearly",IF(F28="","pick a month →",IF(I28=MONTH(TODAY()),IF(E28&gt;DAY(TODAY()),"still to pay","paid ✓"),"not this month")),IF(E28&gt;DAY(TODAY()),"still to pay","paid ✓")))</f>
        <v/>
      </c>
      <c r="H28" s="37" t="str">
        <f aca="true">IF(OR(C28="",E28=""),"",IF(D28="Yearly",IF(F28="","",IF(DATE(YEAR(TODAY()),I28,E28)&gt;TODAY(),DATE(YEAR(TODAY()),I28,E28),DATE(YEAR(TODAY())+1,I28,E28))),IF(E28&gt;DAY(TODAY()),DATE(YEAR(TODAY()),MONTH(TODAY()),E28),DATE(YEAR(TODAY()),MONTH(TODAY())+1,E28))))</f>
        <v/>
      </c>
      <c r="I28" s="38" t="str">
        <f aca="false">IF(F28="","",MATCH(F28,{"Jan","Feb","Mar","Apr","May","Jun","Jul","Aug","Sep","Oct","Nov","Dec"},0))</f>
        <v/>
      </c>
      <c r="J28" s="1"/>
    </row>
    <row r="29" customFormat="false" ht="15" hidden="false" customHeight="false" outlineLevel="0" collapsed="false">
      <c r="A29" s="1"/>
      <c r="B29" s="35"/>
      <c r="C29" s="34"/>
      <c r="D29" s="35"/>
      <c r="E29" s="35"/>
      <c r="F29" s="35"/>
      <c r="G29" s="36" t="str">
        <f aca="true">IF(OR(C29="",E29=""),"",IF(D29="Yearly",IF(F29="","pick a month →",IF(I29=MONTH(TODAY()),IF(E29&gt;DAY(TODAY()),"still to pay","paid ✓"),"not this month")),IF(E29&gt;DAY(TODAY()),"still to pay","paid ✓")))</f>
        <v/>
      </c>
      <c r="H29" s="37" t="str">
        <f aca="true">IF(OR(C29="",E29=""),"",IF(D29="Yearly",IF(F29="","",IF(DATE(YEAR(TODAY()),I29,E29)&gt;TODAY(),DATE(YEAR(TODAY()),I29,E29),DATE(YEAR(TODAY())+1,I29,E29))),IF(E29&gt;DAY(TODAY()),DATE(YEAR(TODAY()),MONTH(TODAY()),E29),DATE(YEAR(TODAY()),MONTH(TODAY())+1,E29))))</f>
        <v/>
      </c>
      <c r="I29" s="38" t="str">
        <f aca="false">IF(F29="","",MATCH(F29,{"Jan","Feb","Mar","Apr","May","Jun","Jul","Aug","Sep","Oct","Nov","Dec"},0))</f>
        <v/>
      </c>
      <c r="J29" s="1"/>
    </row>
    <row r="30" customFormat="false" ht="15" hidden="false" customHeight="false" outlineLevel="0" collapsed="false">
      <c r="A30" s="1"/>
      <c r="B30" s="35"/>
      <c r="C30" s="34"/>
      <c r="D30" s="35"/>
      <c r="E30" s="35"/>
      <c r="F30" s="35"/>
      <c r="G30" s="36" t="str">
        <f aca="true">IF(OR(C30="",E30=""),"",IF(D30="Yearly",IF(F30="","pick a month →",IF(I30=MONTH(TODAY()),IF(E30&gt;DAY(TODAY()),"still to pay","paid ✓"),"not this month")),IF(E30&gt;DAY(TODAY()),"still to pay","paid ✓")))</f>
        <v/>
      </c>
      <c r="H30" s="37" t="str">
        <f aca="true">IF(OR(C30="",E30=""),"",IF(D30="Yearly",IF(F30="","",IF(DATE(YEAR(TODAY()),I30,E30)&gt;TODAY(),DATE(YEAR(TODAY()),I30,E30),DATE(YEAR(TODAY())+1,I30,E30))),IF(E30&gt;DAY(TODAY()),DATE(YEAR(TODAY()),MONTH(TODAY()),E30),DATE(YEAR(TODAY()),MONTH(TODAY())+1,E30))))</f>
        <v/>
      </c>
      <c r="I30" s="38" t="str">
        <f aca="false">IF(F30="","",MATCH(F30,{"Jan","Feb","Mar","Apr","May","Jun","Jul","Aug","Sep","Oct","Nov","Dec"},0))</f>
        <v/>
      </c>
      <c r="J30" s="1"/>
    </row>
    <row r="31" customFormat="false" ht="15" hidden="false" customHeight="false" outlineLevel="0" collapsed="false">
      <c r="A31" s="1"/>
      <c r="B31" s="35"/>
      <c r="C31" s="34"/>
      <c r="D31" s="35"/>
      <c r="E31" s="35"/>
      <c r="F31" s="35"/>
      <c r="G31" s="36" t="str">
        <f aca="true">IF(OR(C31="",E31=""),"",IF(D31="Yearly",IF(F31="","pick a month →",IF(I31=MONTH(TODAY()),IF(E31&gt;DAY(TODAY()),"still to pay","paid ✓"),"not this month")),IF(E31&gt;DAY(TODAY()),"still to pay","paid ✓")))</f>
        <v/>
      </c>
      <c r="H31" s="37" t="str">
        <f aca="true">IF(OR(C31="",E31=""),"",IF(D31="Yearly",IF(F31="","",IF(DATE(YEAR(TODAY()),I31,E31)&gt;TODAY(),DATE(YEAR(TODAY()),I31,E31),DATE(YEAR(TODAY())+1,I31,E31))),IF(E31&gt;DAY(TODAY()),DATE(YEAR(TODAY()),MONTH(TODAY()),E31),DATE(YEAR(TODAY()),MONTH(TODAY())+1,E31))))</f>
        <v/>
      </c>
      <c r="I31" s="38" t="str">
        <f aca="false">IF(F31="","",MATCH(F31,{"Jan","Feb","Mar","Apr","May","Jun","Jul","Aug","Sep","Oct","Nov","Dec"},0))</f>
        <v/>
      </c>
      <c r="J31" s="1"/>
    </row>
    <row r="32" customFormat="false" ht="15" hidden="false" customHeight="false" outlineLevel="0" collapsed="false">
      <c r="A32" s="1"/>
      <c r="B32" s="35"/>
      <c r="C32" s="34"/>
      <c r="D32" s="35"/>
      <c r="E32" s="35"/>
      <c r="F32" s="35"/>
      <c r="G32" s="36" t="str">
        <f aca="true">IF(OR(C32="",E32=""),"",IF(D32="Yearly",IF(F32="","pick a month →",IF(I32=MONTH(TODAY()),IF(E32&gt;DAY(TODAY()),"still to pay","paid ✓"),"not this month")),IF(E32&gt;DAY(TODAY()),"still to pay","paid ✓")))</f>
        <v/>
      </c>
      <c r="H32" s="37" t="str">
        <f aca="true">IF(OR(C32="",E32=""),"",IF(D32="Yearly",IF(F32="","",IF(DATE(YEAR(TODAY()),I32,E32)&gt;TODAY(),DATE(YEAR(TODAY()),I32,E32),DATE(YEAR(TODAY())+1,I32,E32))),IF(E32&gt;DAY(TODAY()),DATE(YEAR(TODAY()),MONTH(TODAY()),E32),DATE(YEAR(TODAY()),MONTH(TODAY())+1,E32))))</f>
        <v/>
      </c>
      <c r="I32" s="38" t="str">
        <f aca="false">IF(F32="","",MATCH(F32,{"Jan","Feb","Mar","Apr","May","Jun","Jul","Aug","Sep","Oct","Nov","Dec"},0))</f>
        <v/>
      </c>
      <c r="J32" s="1"/>
    </row>
    <row r="33" customFormat="false" ht="15" hidden="false" customHeight="false" outlineLevel="0" collapsed="false">
      <c r="A33" s="1"/>
      <c r="B33" s="35"/>
      <c r="C33" s="34"/>
      <c r="D33" s="35"/>
      <c r="E33" s="35"/>
      <c r="F33" s="35"/>
      <c r="G33" s="36" t="str">
        <f aca="true">IF(OR(C33="",E33=""),"",IF(D33="Yearly",IF(F33="","pick a month →",IF(I33=MONTH(TODAY()),IF(E33&gt;DAY(TODAY()),"still to pay","paid ✓"),"not this month")),IF(E33&gt;DAY(TODAY()),"still to pay","paid ✓")))</f>
        <v/>
      </c>
      <c r="H33" s="37" t="str">
        <f aca="true">IF(OR(C33="",E33=""),"",IF(D33="Yearly",IF(F33="","",IF(DATE(YEAR(TODAY()),I33,E33)&gt;TODAY(),DATE(YEAR(TODAY()),I33,E33),DATE(YEAR(TODAY())+1,I33,E33))),IF(E33&gt;DAY(TODAY()),DATE(YEAR(TODAY()),MONTH(TODAY()),E33),DATE(YEAR(TODAY()),MONTH(TODAY())+1,E33))))</f>
        <v/>
      </c>
      <c r="I33" s="38" t="str">
        <f aca="false">IF(F33="","",MATCH(F33,{"Jan","Feb","Mar","Apr","May","Jun","Jul","Aug","Sep","Oct","Nov","Dec"},0))</f>
        <v/>
      </c>
      <c r="J33" s="1"/>
    </row>
    <row r="34" customFormat="false" ht="15" hidden="false" customHeight="false" outlineLevel="0" collapsed="false">
      <c r="A34" s="1"/>
      <c r="B34" s="35"/>
      <c r="C34" s="34"/>
      <c r="D34" s="35"/>
      <c r="E34" s="35"/>
      <c r="F34" s="35"/>
      <c r="G34" s="36" t="str">
        <f aca="true">IF(OR(C34="",E34=""),"",IF(D34="Yearly",IF(F34="","pick a month →",IF(I34=MONTH(TODAY()),IF(E34&gt;DAY(TODAY()),"still to pay","paid ✓"),"not this month")),IF(E34&gt;DAY(TODAY()),"still to pay","paid ✓")))</f>
        <v/>
      </c>
      <c r="H34" s="37" t="str">
        <f aca="true">IF(OR(C34="",E34=""),"",IF(D34="Yearly",IF(F34="","",IF(DATE(YEAR(TODAY()),I34,E34)&gt;TODAY(),DATE(YEAR(TODAY()),I34,E34),DATE(YEAR(TODAY())+1,I34,E34))),IF(E34&gt;DAY(TODAY()),DATE(YEAR(TODAY()),MONTH(TODAY()),E34),DATE(YEAR(TODAY()),MONTH(TODAY())+1,E34))))</f>
        <v/>
      </c>
      <c r="I34" s="38" t="str">
        <f aca="false">IF(F34="","",MATCH(F34,{"Jan","Feb","Mar","Apr","May","Jun","Jul","Aug","Sep","Oct","Nov","Dec"},0))</f>
        <v/>
      </c>
      <c r="J34" s="1"/>
    </row>
    <row r="35" customFormat="false" ht="15" hidden="false" customHeight="false" outlineLevel="0" collapsed="false">
      <c r="A35" s="1"/>
      <c r="B35" s="35"/>
      <c r="C35" s="34"/>
      <c r="D35" s="35"/>
      <c r="E35" s="35"/>
      <c r="F35" s="35"/>
      <c r="G35" s="36" t="str">
        <f aca="true">IF(OR(C35="",E35=""),"",IF(D35="Yearly",IF(F35="","pick a month →",IF(I35=MONTH(TODAY()),IF(E35&gt;DAY(TODAY()),"still to pay","paid ✓"),"not this month")),IF(E35&gt;DAY(TODAY()),"still to pay","paid ✓")))</f>
        <v/>
      </c>
      <c r="H35" s="37" t="str">
        <f aca="true">IF(OR(C35="",E35=""),"",IF(D35="Yearly",IF(F35="","",IF(DATE(YEAR(TODAY()),I35,E35)&gt;TODAY(),DATE(YEAR(TODAY()),I35,E35),DATE(YEAR(TODAY())+1,I35,E35))),IF(E35&gt;DAY(TODAY()),DATE(YEAR(TODAY()),MONTH(TODAY()),E35),DATE(YEAR(TODAY()),MONTH(TODAY())+1,E35))))</f>
        <v/>
      </c>
      <c r="I35" s="38" t="str">
        <f aca="false">IF(F35="","",MATCH(F35,{"Jan","Feb","Mar","Apr","May","Jun","Jul","Aug","Sep","Oct","Nov","Dec"},0))</f>
        <v/>
      </c>
      <c r="J35" s="1"/>
    </row>
    <row r="36" customFormat="false" ht="15" hidden="false" customHeight="false" outlineLevel="0" collapsed="false">
      <c r="A36" s="1"/>
      <c r="B36" s="35"/>
      <c r="C36" s="34"/>
      <c r="D36" s="35"/>
      <c r="E36" s="35"/>
      <c r="F36" s="35"/>
      <c r="G36" s="36" t="str">
        <f aca="true">IF(OR(C36="",E36=""),"",IF(D36="Yearly",IF(F36="","pick a month →",IF(I36=MONTH(TODAY()),IF(E36&gt;DAY(TODAY()),"still to pay","paid ✓"),"not this month")),IF(E36&gt;DAY(TODAY()),"still to pay","paid ✓")))</f>
        <v/>
      </c>
      <c r="H36" s="37" t="str">
        <f aca="true">IF(OR(C36="",E36=""),"",IF(D36="Yearly",IF(F36="","",IF(DATE(YEAR(TODAY()),I36,E36)&gt;TODAY(),DATE(YEAR(TODAY()),I36,E36),DATE(YEAR(TODAY())+1,I36,E36))),IF(E36&gt;DAY(TODAY()),DATE(YEAR(TODAY()),MONTH(TODAY()),E36),DATE(YEAR(TODAY()),MONTH(TODAY())+1,E36))))</f>
        <v/>
      </c>
      <c r="I36" s="38" t="str">
        <f aca="false">IF(F36="","",MATCH(F36,{"Jan","Feb","Mar","Apr","May","Jun","Jul","Aug","Sep","Oct","Nov","Dec"},0))</f>
        <v/>
      </c>
      <c r="J36" s="1"/>
    </row>
    <row r="37" customFormat="false" ht="15" hidden="false" customHeight="false" outlineLevel="0" collapsed="false">
      <c r="A37" s="1"/>
      <c r="B37" s="35"/>
      <c r="C37" s="34"/>
      <c r="D37" s="35"/>
      <c r="E37" s="35"/>
      <c r="F37" s="35"/>
      <c r="G37" s="36" t="str">
        <f aca="true">IF(OR(C37="",E37=""),"",IF(D37="Yearly",IF(F37="","pick a month →",IF(I37=MONTH(TODAY()),IF(E37&gt;DAY(TODAY()),"still to pay","paid ✓"),"not this month")),IF(E37&gt;DAY(TODAY()),"still to pay","paid ✓")))</f>
        <v/>
      </c>
      <c r="H37" s="37" t="str">
        <f aca="true">IF(OR(C37="",E37=""),"",IF(D37="Yearly",IF(F37="","",IF(DATE(YEAR(TODAY()),I37,E37)&gt;TODAY(),DATE(YEAR(TODAY()),I37,E37),DATE(YEAR(TODAY())+1,I37,E37))),IF(E37&gt;DAY(TODAY()),DATE(YEAR(TODAY()),MONTH(TODAY()),E37),DATE(YEAR(TODAY()),MONTH(TODAY())+1,E37))))</f>
        <v/>
      </c>
      <c r="I37" s="38" t="str">
        <f aca="false">IF(F37="","",MATCH(F37,{"Jan","Feb","Mar","Apr","May","Jun","Jul","Aug","Sep","Oct","Nov","Dec"},0))</f>
        <v/>
      </c>
      <c r="J37" s="1"/>
    </row>
    <row r="38" customFormat="false" ht="15" hidden="false" customHeight="false" outlineLevel="0" collapsed="false">
      <c r="A38" s="1"/>
      <c r="B38" s="35"/>
      <c r="C38" s="34"/>
      <c r="D38" s="35"/>
      <c r="E38" s="35"/>
      <c r="F38" s="35"/>
      <c r="G38" s="36" t="str">
        <f aca="true">IF(OR(C38="",E38=""),"",IF(D38="Yearly",IF(F38="","pick a month →",IF(I38=MONTH(TODAY()),IF(E38&gt;DAY(TODAY()),"still to pay","paid ✓"),"not this month")),IF(E38&gt;DAY(TODAY()),"still to pay","paid ✓")))</f>
        <v/>
      </c>
      <c r="H38" s="37" t="str">
        <f aca="true">IF(OR(C38="",E38=""),"",IF(D38="Yearly",IF(F38="","",IF(DATE(YEAR(TODAY()),I38,E38)&gt;TODAY(),DATE(YEAR(TODAY()),I38,E38),DATE(YEAR(TODAY())+1,I38,E38))),IF(E38&gt;DAY(TODAY()),DATE(YEAR(TODAY()),MONTH(TODAY()),E38),DATE(YEAR(TODAY()),MONTH(TODAY())+1,E38))))</f>
        <v/>
      </c>
      <c r="I38" s="38" t="str">
        <f aca="false">IF(F38="","",MATCH(F38,{"Jan","Feb","Mar","Apr","May","Jun","Jul","Aug","Sep","Oct","Nov","Dec"},0))</f>
        <v/>
      </c>
      <c r="J38" s="1"/>
    </row>
    <row r="39" customFormat="false" ht="15" hidden="false" customHeight="false" outlineLevel="0" collapsed="false">
      <c r="A39" s="1"/>
      <c r="B39" s="35"/>
      <c r="C39" s="34"/>
      <c r="D39" s="35"/>
      <c r="E39" s="35"/>
      <c r="F39" s="35"/>
      <c r="G39" s="36" t="str">
        <f aca="true">IF(OR(C39="",E39=""),"",IF(D39="Yearly",IF(F39="","pick a month →",IF(I39=MONTH(TODAY()),IF(E39&gt;DAY(TODAY()),"still to pay","paid ✓"),"not this month")),IF(E39&gt;DAY(TODAY()),"still to pay","paid ✓")))</f>
        <v/>
      </c>
      <c r="H39" s="37" t="str">
        <f aca="true">IF(OR(C39="",E39=""),"",IF(D39="Yearly",IF(F39="","",IF(DATE(YEAR(TODAY()),I39,E39)&gt;TODAY(),DATE(YEAR(TODAY()),I39,E39),DATE(YEAR(TODAY())+1,I39,E39))),IF(E39&gt;DAY(TODAY()),DATE(YEAR(TODAY()),MONTH(TODAY()),E39),DATE(YEAR(TODAY()),MONTH(TODAY())+1,E39))))</f>
        <v/>
      </c>
      <c r="I39" s="38" t="str">
        <f aca="false">IF(F39="","",MATCH(F39,{"Jan","Feb","Mar","Apr","May","Jun","Jul","Aug","Sep","Oct","Nov","Dec"},0))</f>
        <v/>
      </c>
      <c r="J39" s="1"/>
    </row>
    <row r="40" customFormat="false" ht="15" hidden="false" customHeight="false" outlineLevel="0" collapsed="false">
      <c r="A40" s="1"/>
      <c r="B40" s="35"/>
      <c r="C40" s="34"/>
      <c r="D40" s="35"/>
      <c r="E40" s="35"/>
      <c r="F40" s="35"/>
      <c r="G40" s="36" t="str">
        <f aca="true">IF(OR(C40="",E40=""),"",IF(D40="Yearly",IF(F40="","pick a month →",IF(I40=MONTH(TODAY()),IF(E40&gt;DAY(TODAY()),"still to pay","paid ✓"),"not this month")),IF(E40&gt;DAY(TODAY()),"still to pay","paid ✓")))</f>
        <v/>
      </c>
      <c r="H40" s="37" t="str">
        <f aca="true">IF(OR(C40="",E40=""),"",IF(D40="Yearly",IF(F40="","",IF(DATE(YEAR(TODAY()),I40,E40)&gt;TODAY(),DATE(YEAR(TODAY()),I40,E40),DATE(YEAR(TODAY())+1,I40,E40))),IF(E40&gt;DAY(TODAY()),DATE(YEAR(TODAY()),MONTH(TODAY()),E40),DATE(YEAR(TODAY()),MONTH(TODAY())+1,E40))))</f>
        <v/>
      </c>
      <c r="I40" s="38" t="str">
        <f aca="false">IF(F40="","",MATCH(F40,{"Jan","Feb","Mar","Apr","May","Jun","Jul","Aug","Sep","Oct","Nov","Dec"},0))</f>
        <v/>
      </c>
      <c r="J40" s="1"/>
    </row>
    <row r="41" customFormat="false" ht="15" hidden="false" customHeight="false" outlineLevel="0" collapsed="false">
      <c r="A41" s="1"/>
      <c r="B41" s="35"/>
      <c r="C41" s="34"/>
      <c r="D41" s="35"/>
      <c r="E41" s="35"/>
      <c r="F41" s="35"/>
      <c r="G41" s="36" t="str">
        <f aca="true">IF(OR(C41="",E41=""),"",IF(D41="Yearly",IF(F41="","pick a month →",IF(I41=MONTH(TODAY()),IF(E41&gt;DAY(TODAY()),"still to pay","paid ✓"),"not this month")),IF(E41&gt;DAY(TODAY()),"still to pay","paid ✓")))</f>
        <v/>
      </c>
      <c r="H41" s="37" t="str">
        <f aca="true">IF(OR(C41="",E41=""),"",IF(D41="Yearly",IF(F41="","",IF(DATE(YEAR(TODAY()),I41,E41)&gt;TODAY(),DATE(YEAR(TODAY()),I41,E41),DATE(YEAR(TODAY())+1,I41,E41))),IF(E41&gt;DAY(TODAY()),DATE(YEAR(TODAY()),MONTH(TODAY()),E41),DATE(YEAR(TODAY()),MONTH(TODAY())+1,E41))))</f>
        <v/>
      </c>
      <c r="I41" s="38" t="str">
        <f aca="false">IF(F41="","",MATCH(F41,{"Jan","Feb","Mar","Apr","May","Jun","Jul","Aug","Sep","Oct","Nov","Dec"},0))</f>
        <v/>
      </c>
      <c r="J41" s="1"/>
    </row>
    <row r="42" customFormat="false" ht="15" hidden="false" customHeight="false" outlineLevel="0" collapsed="false">
      <c r="A42" s="1"/>
      <c r="B42" s="35"/>
      <c r="C42" s="34"/>
      <c r="D42" s="35"/>
      <c r="E42" s="35"/>
      <c r="F42" s="35"/>
      <c r="G42" s="36" t="str">
        <f aca="true">IF(OR(C42="",E42=""),"",IF(D42="Yearly",IF(F42="","pick a month →",IF(I42=MONTH(TODAY()),IF(E42&gt;DAY(TODAY()),"still to pay","paid ✓"),"not this month")),IF(E42&gt;DAY(TODAY()),"still to pay","paid ✓")))</f>
        <v/>
      </c>
      <c r="H42" s="37" t="str">
        <f aca="true">IF(OR(C42="",E42=""),"",IF(D42="Yearly",IF(F42="","",IF(DATE(YEAR(TODAY()),I42,E42)&gt;TODAY(),DATE(YEAR(TODAY()),I42,E42),DATE(YEAR(TODAY())+1,I42,E42))),IF(E42&gt;DAY(TODAY()),DATE(YEAR(TODAY()),MONTH(TODAY()),E42),DATE(YEAR(TODAY()),MONTH(TODAY())+1,E42))))</f>
        <v/>
      </c>
      <c r="I42" s="38" t="str">
        <f aca="false">IF(F42="","",MATCH(F42,{"Jan","Feb","Mar","Apr","May","Jun","Jul","Aug","Sep","Oct","Nov","Dec"},0))</f>
        <v/>
      </c>
      <c r="J42" s="1"/>
    </row>
    <row r="43" customFormat="false" ht="15" hidden="false" customHeight="false" outlineLevel="0" collapsed="false">
      <c r="A43" s="1"/>
      <c r="B43" s="35"/>
      <c r="C43" s="34"/>
      <c r="D43" s="35"/>
      <c r="E43" s="35"/>
      <c r="F43" s="35"/>
      <c r="G43" s="36" t="str">
        <f aca="true">IF(OR(C43="",E43=""),"",IF(D43="Yearly",IF(F43="","pick a month →",IF(I43=MONTH(TODAY()),IF(E43&gt;DAY(TODAY()),"still to pay","paid ✓"),"not this month")),IF(E43&gt;DAY(TODAY()),"still to pay","paid ✓")))</f>
        <v/>
      </c>
      <c r="H43" s="37" t="str">
        <f aca="true">IF(OR(C43="",E43=""),"",IF(D43="Yearly",IF(F43="","",IF(DATE(YEAR(TODAY()),I43,E43)&gt;TODAY(),DATE(YEAR(TODAY()),I43,E43),DATE(YEAR(TODAY())+1,I43,E43))),IF(E43&gt;DAY(TODAY()),DATE(YEAR(TODAY()),MONTH(TODAY()),E43),DATE(YEAR(TODAY()),MONTH(TODAY())+1,E43))))</f>
        <v/>
      </c>
      <c r="I43" s="38" t="str">
        <f aca="false">IF(F43="","",MATCH(F43,{"Jan","Feb","Mar","Apr","May","Jun","Jul","Aug","Sep","Oct","Nov","Dec"},0))</f>
        <v/>
      </c>
      <c r="J43" s="1"/>
    </row>
    <row r="44" customFormat="false" ht="15" hidden="false" customHeight="false" outlineLevel="0" collapsed="false">
      <c r="A44" s="1"/>
      <c r="B44" s="35"/>
      <c r="C44" s="34"/>
      <c r="D44" s="35"/>
      <c r="E44" s="35"/>
      <c r="F44" s="35"/>
      <c r="G44" s="36" t="str">
        <f aca="true">IF(OR(C44="",E44=""),"",IF(D44="Yearly",IF(F44="","pick a month →",IF(I44=MONTH(TODAY()),IF(E44&gt;DAY(TODAY()),"still to pay","paid ✓"),"not this month")),IF(E44&gt;DAY(TODAY()),"still to pay","paid ✓")))</f>
        <v/>
      </c>
      <c r="H44" s="37" t="str">
        <f aca="true">IF(OR(C44="",E44=""),"",IF(D44="Yearly",IF(F44="","",IF(DATE(YEAR(TODAY()),I44,E44)&gt;TODAY(),DATE(YEAR(TODAY()),I44,E44),DATE(YEAR(TODAY())+1,I44,E44))),IF(E44&gt;DAY(TODAY()),DATE(YEAR(TODAY()),MONTH(TODAY()),E44),DATE(YEAR(TODAY()),MONTH(TODAY())+1,E44))))</f>
        <v/>
      </c>
      <c r="I44" s="38" t="str">
        <f aca="false">IF(F44="","",MATCH(F44,{"Jan","Feb","Mar","Apr","May","Jun","Jul","Aug","Sep","Oct","Nov","Dec"},0))</f>
        <v/>
      </c>
      <c r="J44" s="1"/>
    </row>
    <row r="45" customFormat="false" ht="15" hidden="false" customHeight="false" outlineLevel="0" collapsed="false">
      <c r="A45" s="1"/>
      <c r="B45" s="35"/>
      <c r="C45" s="34"/>
      <c r="D45" s="35"/>
      <c r="E45" s="35"/>
      <c r="F45" s="35"/>
      <c r="G45" s="36" t="str">
        <f aca="true">IF(OR(C45="",E45=""),"",IF(D45="Yearly",IF(F45="","pick a month →",IF(I45=MONTH(TODAY()),IF(E45&gt;DAY(TODAY()),"still to pay","paid ✓"),"not this month")),IF(E45&gt;DAY(TODAY()),"still to pay","paid ✓")))</f>
        <v/>
      </c>
      <c r="H45" s="37" t="str">
        <f aca="true">IF(OR(C45="",E45=""),"",IF(D45="Yearly",IF(F45="","",IF(DATE(YEAR(TODAY()),I45,E45)&gt;TODAY(),DATE(YEAR(TODAY()),I45,E45),DATE(YEAR(TODAY())+1,I45,E45))),IF(E45&gt;DAY(TODAY()),DATE(YEAR(TODAY()),MONTH(TODAY()),E45),DATE(YEAR(TODAY()),MONTH(TODAY())+1,E45))))</f>
        <v/>
      </c>
      <c r="I45" s="38" t="str">
        <f aca="false">IF(F45="","",MATCH(F45,{"Jan","Feb","Mar","Apr","May","Jun","Jul","Aug","Sep","Oct","Nov","Dec"},0))</f>
        <v/>
      </c>
      <c r="J45" s="1"/>
    </row>
    <row r="46" customFormat="false" ht="15" hidden="false" customHeight="false" outlineLevel="0" collapsed="false">
      <c r="A46" s="1"/>
      <c r="B46" s="35"/>
      <c r="C46" s="34"/>
      <c r="D46" s="35"/>
      <c r="E46" s="35"/>
      <c r="F46" s="35"/>
      <c r="G46" s="36" t="str">
        <f aca="true">IF(OR(C46="",E46=""),"",IF(D46="Yearly",IF(F46="","pick a month →",IF(I46=MONTH(TODAY()),IF(E46&gt;DAY(TODAY()),"still to pay","paid ✓"),"not this month")),IF(E46&gt;DAY(TODAY()),"still to pay","paid ✓")))</f>
        <v/>
      </c>
      <c r="H46" s="37" t="str">
        <f aca="true">IF(OR(C46="",E46=""),"",IF(D46="Yearly",IF(F46="","",IF(DATE(YEAR(TODAY()),I46,E46)&gt;TODAY(),DATE(YEAR(TODAY()),I46,E46),DATE(YEAR(TODAY())+1,I46,E46))),IF(E46&gt;DAY(TODAY()),DATE(YEAR(TODAY()),MONTH(TODAY()),E46),DATE(YEAR(TODAY()),MONTH(TODAY())+1,E46))))</f>
        <v/>
      </c>
      <c r="I46" s="38" t="str">
        <f aca="false">IF(F46="","",MATCH(F46,{"Jan","Feb","Mar","Apr","May","Jun","Jul","Aug","Sep","Oct","Nov","Dec"},0))</f>
        <v/>
      </c>
      <c r="J46" s="1"/>
    </row>
    <row r="47" customFormat="false" ht="15" hidden="false" customHeight="false" outlineLevel="0" collapsed="false">
      <c r="A47" s="1"/>
      <c r="B47" s="35"/>
      <c r="C47" s="34"/>
      <c r="D47" s="35"/>
      <c r="E47" s="35"/>
      <c r="F47" s="35"/>
      <c r="G47" s="36" t="str">
        <f aca="true">IF(OR(C47="",E47=""),"",IF(D47="Yearly",IF(F47="","pick a month →",IF(I47=MONTH(TODAY()),IF(E47&gt;DAY(TODAY()),"still to pay","paid ✓"),"not this month")),IF(E47&gt;DAY(TODAY()),"still to pay","paid ✓")))</f>
        <v/>
      </c>
      <c r="H47" s="37" t="str">
        <f aca="true">IF(OR(C47="",E47=""),"",IF(D47="Yearly",IF(F47="","",IF(DATE(YEAR(TODAY()),I47,E47)&gt;TODAY(),DATE(YEAR(TODAY()),I47,E47),DATE(YEAR(TODAY())+1,I47,E47))),IF(E47&gt;DAY(TODAY()),DATE(YEAR(TODAY()),MONTH(TODAY()),E47),DATE(YEAR(TODAY()),MONTH(TODAY())+1,E47))))</f>
        <v/>
      </c>
      <c r="I47" s="38" t="str">
        <f aca="false">IF(F47="","",MATCH(F47,{"Jan","Feb","Mar","Apr","May","Jun","Jul","Aug","Sep","Oct","Nov","Dec"},0))</f>
        <v/>
      </c>
      <c r="J47" s="1"/>
    </row>
    <row r="48" customFormat="false" ht="15" hidden="false" customHeight="false" outlineLevel="0" collapsed="false">
      <c r="A48" s="1"/>
      <c r="B48" s="35"/>
      <c r="C48" s="34"/>
      <c r="D48" s="35"/>
      <c r="E48" s="35"/>
      <c r="F48" s="35"/>
      <c r="G48" s="36" t="str">
        <f aca="true">IF(OR(C48="",E48=""),"",IF(D48="Yearly",IF(F48="","pick a month →",IF(I48=MONTH(TODAY()),IF(E48&gt;DAY(TODAY()),"still to pay","paid ✓"),"not this month")),IF(E48&gt;DAY(TODAY()),"still to pay","paid ✓")))</f>
        <v/>
      </c>
      <c r="H48" s="37" t="str">
        <f aca="true">IF(OR(C48="",E48=""),"",IF(D48="Yearly",IF(F48="","",IF(DATE(YEAR(TODAY()),I48,E48)&gt;TODAY(),DATE(YEAR(TODAY()),I48,E48),DATE(YEAR(TODAY())+1,I48,E48))),IF(E48&gt;DAY(TODAY()),DATE(YEAR(TODAY()),MONTH(TODAY()),E48),DATE(YEAR(TODAY()),MONTH(TODAY())+1,E48))))</f>
        <v/>
      </c>
      <c r="I48" s="38" t="str">
        <f aca="false">IF(F48="","",MATCH(F48,{"Jan","Feb","Mar","Apr","May","Jun","Jul","Aug","Sep","Oct","Nov","Dec"},0))</f>
        <v/>
      </c>
      <c r="J48" s="1"/>
    </row>
    <row r="49" customFormat="false" ht="15" hidden="false" customHeight="false" outlineLevel="0" collapsed="false">
      <c r="A49" s="1"/>
      <c r="B49" s="35"/>
      <c r="C49" s="34"/>
      <c r="D49" s="35"/>
      <c r="E49" s="35"/>
      <c r="F49" s="35"/>
      <c r="G49" s="36" t="str">
        <f aca="true">IF(OR(C49="",E49=""),"",IF(D49="Yearly",IF(F49="","pick a month →",IF(I49=MONTH(TODAY()),IF(E49&gt;DAY(TODAY()),"still to pay","paid ✓"),"not this month")),IF(E49&gt;DAY(TODAY()),"still to pay","paid ✓")))</f>
        <v/>
      </c>
      <c r="H49" s="37" t="str">
        <f aca="true">IF(OR(C49="",E49=""),"",IF(D49="Yearly",IF(F49="","",IF(DATE(YEAR(TODAY()),I49,E49)&gt;TODAY(),DATE(YEAR(TODAY()),I49,E49),DATE(YEAR(TODAY())+1,I49,E49))),IF(E49&gt;DAY(TODAY()),DATE(YEAR(TODAY()),MONTH(TODAY()),E49),DATE(YEAR(TODAY()),MONTH(TODAY())+1,E49))))</f>
        <v/>
      </c>
      <c r="I49" s="38" t="str">
        <f aca="false">IF(F49="","",MATCH(F49,{"Jan","Feb","Mar","Apr","May","Jun","Jul","Aug","Sep","Oct","Nov","Dec"},0))</f>
        <v/>
      </c>
      <c r="J49" s="1"/>
    </row>
    <row r="50" customFormat="false" ht="15" hidden="false" customHeight="false" outlineLevel="0" collapsed="false">
      <c r="A50" s="1"/>
      <c r="B50" s="35"/>
      <c r="C50" s="34"/>
      <c r="D50" s="35"/>
      <c r="E50" s="35"/>
      <c r="F50" s="35"/>
      <c r="G50" s="36" t="str">
        <f aca="true">IF(OR(C50="",E50=""),"",IF(D50="Yearly",IF(F50="","pick a month →",IF(I50=MONTH(TODAY()),IF(E50&gt;DAY(TODAY()),"still to pay","paid ✓"),"not this month")),IF(E50&gt;DAY(TODAY()),"still to pay","paid ✓")))</f>
        <v/>
      </c>
      <c r="H50" s="37" t="str">
        <f aca="true">IF(OR(C50="",E50=""),"",IF(D50="Yearly",IF(F50="","",IF(DATE(YEAR(TODAY()),I50,E50)&gt;TODAY(),DATE(YEAR(TODAY()),I50,E50),DATE(YEAR(TODAY())+1,I50,E50))),IF(E50&gt;DAY(TODAY()),DATE(YEAR(TODAY()),MONTH(TODAY()),E50),DATE(YEAR(TODAY()),MONTH(TODAY())+1,E50))))</f>
        <v/>
      </c>
      <c r="I50" s="38" t="str">
        <f aca="false">IF(F50="","",MATCH(F50,{"Jan","Feb","Mar","Apr","May","Jun","Jul","Aug","Sep","Oct","Nov","Dec"},0))</f>
        <v/>
      </c>
      <c r="J50" s="1"/>
    </row>
    <row r="51" customFormat="false" ht="15" hidden="false" customHeight="false" outlineLevel="0" collapsed="false">
      <c r="A51" s="1"/>
      <c r="B51" s="35"/>
      <c r="C51" s="34"/>
      <c r="D51" s="35"/>
      <c r="E51" s="35"/>
      <c r="F51" s="35"/>
      <c r="G51" s="36" t="str">
        <f aca="true">IF(OR(C51="",E51=""),"",IF(D51="Yearly",IF(F51="","pick a month →",IF(I51=MONTH(TODAY()),IF(E51&gt;DAY(TODAY()),"still to pay","paid ✓"),"not this month")),IF(E51&gt;DAY(TODAY()),"still to pay","paid ✓")))</f>
        <v/>
      </c>
      <c r="H51" s="37" t="str">
        <f aca="true">IF(OR(C51="",E51=""),"",IF(D51="Yearly",IF(F51="","",IF(DATE(YEAR(TODAY()),I51,E51)&gt;TODAY(),DATE(YEAR(TODAY()),I51,E51),DATE(YEAR(TODAY())+1,I51,E51))),IF(E51&gt;DAY(TODAY()),DATE(YEAR(TODAY()),MONTH(TODAY()),E51),DATE(YEAR(TODAY()),MONTH(TODAY())+1,E51))))</f>
        <v/>
      </c>
      <c r="I51" s="38" t="str">
        <f aca="false">IF(F51="","",MATCH(F51,{"Jan","Feb","Mar","Apr","May","Jun","Jul","Aug","Sep","Oct","Nov","Dec"},0))</f>
        <v/>
      </c>
      <c r="J51" s="1"/>
    </row>
    <row r="52" customFormat="false" ht="15" hidden="false" customHeight="false" outlineLevel="0" collapsed="false">
      <c r="A52" s="1"/>
      <c r="B52" s="35"/>
      <c r="C52" s="34"/>
      <c r="D52" s="35"/>
      <c r="E52" s="35"/>
      <c r="F52" s="35"/>
      <c r="G52" s="36" t="str">
        <f aca="true">IF(OR(C52="",E52=""),"",IF(D52="Yearly",IF(F52="","pick a month →",IF(I52=MONTH(TODAY()),IF(E52&gt;DAY(TODAY()),"still to pay","paid ✓"),"not this month")),IF(E52&gt;DAY(TODAY()),"still to pay","paid ✓")))</f>
        <v/>
      </c>
      <c r="H52" s="37" t="str">
        <f aca="true">IF(OR(C52="",E52=""),"",IF(D52="Yearly",IF(F52="","",IF(DATE(YEAR(TODAY()),I52,E52)&gt;TODAY(),DATE(YEAR(TODAY()),I52,E52),DATE(YEAR(TODAY())+1,I52,E52))),IF(E52&gt;DAY(TODAY()),DATE(YEAR(TODAY()),MONTH(TODAY()),E52),DATE(YEAR(TODAY()),MONTH(TODAY())+1,E52))))</f>
        <v/>
      </c>
      <c r="I52" s="38" t="str">
        <f aca="false">IF(F52="","",MATCH(F52,{"Jan","Feb","Mar","Apr","May","Jun","Jul","Aug","Sep","Oct","Nov","Dec"},0))</f>
        <v/>
      </c>
      <c r="J52" s="1"/>
    </row>
    <row r="53" customFormat="false" ht="15" hidden="false" customHeight="false" outlineLevel="0" collapsed="false">
      <c r="A53" s="1"/>
      <c r="B53" s="35"/>
      <c r="C53" s="34"/>
      <c r="D53" s="35"/>
      <c r="E53" s="35"/>
      <c r="F53" s="35"/>
      <c r="G53" s="36" t="str">
        <f aca="true">IF(OR(C53="",E53=""),"",IF(D53="Yearly",IF(F53="","pick a month →",IF(I53=MONTH(TODAY()),IF(E53&gt;DAY(TODAY()),"still to pay","paid ✓"),"not this month")),IF(E53&gt;DAY(TODAY()),"still to pay","paid ✓")))</f>
        <v/>
      </c>
      <c r="H53" s="37" t="str">
        <f aca="true">IF(OR(C53="",E53=""),"",IF(D53="Yearly",IF(F53="","",IF(DATE(YEAR(TODAY()),I53,E53)&gt;TODAY(),DATE(YEAR(TODAY()),I53,E53),DATE(YEAR(TODAY())+1,I53,E53))),IF(E53&gt;DAY(TODAY()),DATE(YEAR(TODAY()),MONTH(TODAY()),E53),DATE(YEAR(TODAY()),MONTH(TODAY())+1,E53))))</f>
        <v/>
      </c>
      <c r="I53" s="38" t="str">
        <f aca="false">IF(F53="","",MATCH(F53,{"Jan","Feb","Mar","Apr","May","Jun","Jul","Aug","Sep","Oct","Nov","Dec"},0))</f>
        <v/>
      </c>
      <c r="J53" s="1"/>
    </row>
    <row r="54" customFormat="false" ht="15" hidden="false" customHeight="false" outlineLevel="0" collapsed="false">
      <c r="A54" s="1"/>
      <c r="B54" s="35"/>
      <c r="C54" s="34"/>
      <c r="D54" s="35"/>
      <c r="E54" s="35"/>
      <c r="F54" s="35"/>
      <c r="G54" s="36" t="str">
        <f aca="true">IF(OR(C54="",E54=""),"",IF(D54="Yearly",IF(F54="","pick a month →",IF(I54=MONTH(TODAY()),IF(E54&gt;DAY(TODAY()),"still to pay","paid ✓"),"not this month")),IF(E54&gt;DAY(TODAY()),"still to pay","paid ✓")))</f>
        <v/>
      </c>
      <c r="H54" s="37" t="str">
        <f aca="true">IF(OR(C54="",E54=""),"",IF(D54="Yearly",IF(F54="","",IF(DATE(YEAR(TODAY()),I54,E54)&gt;TODAY(),DATE(YEAR(TODAY()),I54,E54),DATE(YEAR(TODAY())+1,I54,E54))),IF(E54&gt;DAY(TODAY()),DATE(YEAR(TODAY()),MONTH(TODAY()),E54),DATE(YEAR(TODAY()),MONTH(TODAY())+1,E54))))</f>
        <v/>
      </c>
      <c r="I54" s="38" t="str">
        <f aca="false">IF(F54="","",MATCH(F54,{"Jan","Feb","Mar","Apr","May","Jun","Jul","Aug","Sep","Oct","Nov","Dec"},0))</f>
        <v/>
      </c>
      <c r="J54" s="1"/>
    </row>
    <row r="55" customFormat="false" ht="15" hidden="false" customHeight="false" outlineLevel="0" collapsed="false">
      <c r="A55" s="1"/>
      <c r="B55" s="35"/>
      <c r="C55" s="34"/>
      <c r="D55" s="35"/>
      <c r="E55" s="35"/>
      <c r="F55" s="35"/>
      <c r="G55" s="36" t="str">
        <f aca="true">IF(OR(C55="",E55=""),"",IF(D55="Yearly",IF(F55="","pick a month →",IF(I55=MONTH(TODAY()),IF(E55&gt;DAY(TODAY()),"still to pay","paid ✓"),"not this month")),IF(E55&gt;DAY(TODAY()),"still to pay","paid ✓")))</f>
        <v/>
      </c>
      <c r="H55" s="37" t="str">
        <f aca="true">IF(OR(C55="",E55=""),"",IF(D55="Yearly",IF(F55="","",IF(DATE(YEAR(TODAY()),I55,E55)&gt;TODAY(),DATE(YEAR(TODAY()),I55,E55),DATE(YEAR(TODAY())+1,I55,E55))),IF(E55&gt;DAY(TODAY()),DATE(YEAR(TODAY()),MONTH(TODAY()),E55),DATE(YEAR(TODAY()),MONTH(TODAY())+1,E55))))</f>
        <v/>
      </c>
      <c r="I55" s="38" t="str">
        <f aca="false">IF(F55="","",MATCH(F55,{"Jan","Feb","Mar","Apr","May","Jun","Jul","Aug","Sep","Oct","Nov","Dec"},0))</f>
        <v/>
      </c>
      <c r="J55" s="1"/>
    </row>
    <row r="56" customFormat="false" ht="15" hidden="false" customHeight="false" outlineLevel="0" collapsed="false">
      <c r="A56" s="1"/>
      <c r="B56" s="35"/>
      <c r="C56" s="34"/>
      <c r="D56" s="35"/>
      <c r="E56" s="35"/>
      <c r="F56" s="35"/>
      <c r="G56" s="36" t="str">
        <f aca="true">IF(OR(C56="",E56=""),"",IF(D56="Yearly",IF(F56="","pick a month →",IF(I56=MONTH(TODAY()),IF(E56&gt;DAY(TODAY()),"still to pay","paid ✓"),"not this month")),IF(E56&gt;DAY(TODAY()),"still to pay","paid ✓")))</f>
        <v/>
      </c>
      <c r="H56" s="37" t="str">
        <f aca="true">IF(OR(C56="",E56=""),"",IF(D56="Yearly",IF(F56="","",IF(DATE(YEAR(TODAY()),I56,E56)&gt;TODAY(),DATE(YEAR(TODAY()),I56,E56),DATE(YEAR(TODAY())+1,I56,E56))),IF(E56&gt;DAY(TODAY()),DATE(YEAR(TODAY()),MONTH(TODAY()),E56),DATE(YEAR(TODAY()),MONTH(TODAY())+1,E56))))</f>
        <v/>
      </c>
      <c r="I56" s="38" t="str">
        <f aca="false">IF(F56="","",MATCH(F56,{"Jan","Feb","Mar","Apr","May","Jun","Jul","Aug","Sep","Oct","Nov","Dec"},0))</f>
        <v/>
      </c>
      <c r="J56" s="1"/>
    </row>
    <row r="57" customFormat="false" ht="15" hidden="false" customHeight="false" outlineLevel="0" collapsed="false">
      <c r="A57" s="1"/>
      <c r="B57" s="35"/>
      <c r="C57" s="34"/>
      <c r="D57" s="35"/>
      <c r="E57" s="35"/>
      <c r="F57" s="35"/>
      <c r="G57" s="36" t="str">
        <f aca="true">IF(OR(C57="",E57=""),"",IF(D57="Yearly",IF(F57="","pick a month →",IF(I57=MONTH(TODAY()),IF(E57&gt;DAY(TODAY()),"still to pay","paid ✓"),"not this month")),IF(E57&gt;DAY(TODAY()),"still to pay","paid ✓")))</f>
        <v/>
      </c>
      <c r="H57" s="37" t="str">
        <f aca="true">IF(OR(C57="",E57=""),"",IF(D57="Yearly",IF(F57="","",IF(DATE(YEAR(TODAY()),I57,E57)&gt;TODAY(),DATE(YEAR(TODAY()),I57,E57),DATE(YEAR(TODAY())+1,I57,E57))),IF(E57&gt;DAY(TODAY()),DATE(YEAR(TODAY()),MONTH(TODAY()),E57),DATE(YEAR(TODAY()),MONTH(TODAY())+1,E57))))</f>
        <v/>
      </c>
      <c r="I57" s="38" t="str">
        <f aca="false">IF(F57="","",MATCH(F57,{"Jan","Feb","Mar","Apr","May","Jun","Jul","Aug","Sep","Oct","Nov","Dec"},0))</f>
        <v/>
      </c>
      <c r="J57" s="1"/>
    </row>
    <row r="58" customFormat="false" ht="15" hidden="false" customHeight="false" outlineLevel="0" collapsed="false">
      <c r="A58" s="1"/>
      <c r="B58" s="35"/>
      <c r="C58" s="34"/>
      <c r="D58" s="35"/>
      <c r="E58" s="35"/>
      <c r="F58" s="35"/>
      <c r="G58" s="36" t="str">
        <f aca="true">IF(OR(C58="",E58=""),"",IF(D58="Yearly",IF(F58="","pick a month →",IF(I58=MONTH(TODAY()),IF(E58&gt;DAY(TODAY()),"still to pay","paid ✓"),"not this month")),IF(E58&gt;DAY(TODAY()),"still to pay","paid ✓")))</f>
        <v/>
      </c>
      <c r="H58" s="37" t="str">
        <f aca="true">IF(OR(C58="",E58=""),"",IF(D58="Yearly",IF(F58="","",IF(DATE(YEAR(TODAY()),I58,E58)&gt;TODAY(),DATE(YEAR(TODAY()),I58,E58),DATE(YEAR(TODAY())+1,I58,E58))),IF(E58&gt;DAY(TODAY()),DATE(YEAR(TODAY()),MONTH(TODAY()),E58),DATE(YEAR(TODAY()),MONTH(TODAY())+1,E58))))</f>
        <v/>
      </c>
      <c r="I58" s="38" t="str">
        <f aca="false">IF(F58="","",MATCH(F58,{"Jan","Feb","Mar","Apr","May","Jun","Jul","Aug","Sep","Oct","Nov","Dec"},0))</f>
        <v/>
      </c>
      <c r="J58" s="1"/>
    </row>
    <row r="59" customFormat="false" ht="15" hidden="false" customHeight="false" outlineLevel="0" collapsed="false">
      <c r="A59" s="1"/>
      <c r="B59" s="35"/>
      <c r="C59" s="34"/>
      <c r="D59" s="35"/>
      <c r="E59" s="35"/>
      <c r="F59" s="35"/>
      <c r="G59" s="36" t="str">
        <f aca="true">IF(OR(C59="",E59=""),"",IF(D59="Yearly",IF(F59="","pick a month →",IF(I59=MONTH(TODAY()),IF(E59&gt;DAY(TODAY()),"still to pay","paid ✓"),"not this month")),IF(E59&gt;DAY(TODAY()),"still to pay","paid ✓")))</f>
        <v/>
      </c>
      <c r="H59" s="37" t="str">
        <f aca="true">IF(OR(C59="",E59=""),"",IF(D59="Yearly",IF(F59="","",IF(DATE(YEAR(TODAY()),I59,E59)&gt;TODAY(),DATE(YEAR(TODAY()),I59,E59),DATE(YEAR(TODAY())+1,I59,E59))),IF(E59&gt;DAY(TODAY()),DATE(YEAR(TODAY()),MONTH(TODAY()),E59),DATE(YEAR(TODAY()),MONTH(TODAY())+1,E59))))</f>
        <v/>
      </c>
      <c r="I59" s="38" t="str">
        <f aca="false">IF(F59="","",MATCH(F59,{"Jan","Feb","Mar","Apr","May","Jun","Jul","Aug","Sep","Oct","Nov","Dec"},0))</f>
        <v/>
      </c>
      <c r="J59" s="1"/>
    </row>
    <row r="60" customFormat="false" ht="15" hidden="false" customHeight="false" outlineLevel="0" collapsed="false">
      <c r="A60" s="1"/>
      <c r="B60" s="35"/>
      <c r="C60" s="34"/>
      <c r="D60" s="35"/>
      <c r="E60" s="35"/>
      <c r="F60" s="35"/>
      <c r="G60" s="36" t="str">
        <f aca="true">IF(OR(C60="",E60=""),"",IF(D60="Yearly",IF(F60="","pick a month →",IF(I60=MONTH(TODAY()),IF(E60&gt;DAY(TODAY()),"still to pay","paid ✓"),"not this month")),IF(E60&gt;DAY(TODAY()),"still to pay","paid ✓")))</f>
        <v/>
      </c>
      <c r="H60" s="37" t="str">
        <f aca="true">IF(OR(C60="",E60=""),"",IF(D60="Yearly",IF(F60="","",IF(DATE(YEAR(TODAY()),I60,E60)&gt;TODAY(),DATE(YEAR(TODAY()),I60,E60),DATE(YEAR(TODAY())+1,I60,E60))),IF(E60&gt;DAY(TODAY()),DATE(YEAR(TODAY()),MONTH(TODAY()),E60),DATE(YEAR(TODAY()),MONTH(TODAY())+1,E60))))</f>
        <v/>
      </c>
      <c r="I60" s="38" t="str">
        <f aca="false">IF(F60="","",MATCH(F60,{"Jan","Feb","Mar","Apr","May","Jun","Jul","Aug","Sep","Oct","Nov","Dec"},0))</f>
        <v/>
      </c>
      <c r="J60" s="1"/>
    </row>
    <row r="61" customFormat="false" ht="15" hidden="false" customHeight="false" outlineLevel="0" collapsed="false">
      <c r="A61" s="1"/>
      <c r="B61" s="35"/>
      <c r="C61" s="34"/>
      <c r="D61" s="35"/>
      <c r="E61" s="35"/>
      <c r="F61" s="35"/>
      <c r="G61" s="36" t="str">
        <f aca="true">IF(OR(C61="",E61=""),"",IF(D61="Yearly",IF(F61="","pick a month →",IF(I61=MONTH(TODAY()),IF(E61&gt;DAY(TODAY()),"still to pay","paid ✓"),"not this month")),IF(E61&gt;DAY(TODAY()),"still to pay","paid ✓")))</f>
        <v/>
      </c>
      <c r="H61" s="37" t="str">
        <f aca="true">IF(OR(C61="",E61=""),"",IF(D61="Yearly",IF(F61="","",IF(DATE(YEAR(TODAY()),I61,E61)&gt;TODAY(),DATE(YEAR(TODAY()),I61,E61),DATE(YEAR(TODAY())+1,I61,E61))),IF(E61&gt;DAY(TODAY()),DATE(YEAR(TODAY()),MONTH(TODAY()),E61),DATE(YEAR(TODAY()),MONTH(TODAY())+1,E61))))</f>
        <v/>
      </c>
      <c r="I61" s="38" t="str">
        <f aca="false">IF(F61="","",MATCH(F61,{"Jan","Feb","Mar","Apr","May","Jun","Jul","Aug","Sep","Oct","Nov","Dec"},0))</f>
        <v/>
      </c>
      <c r="J61" s="1"/>
    </row>
    <row r="62" customFormat="false" ht="15" hidden="false" customHeight="false" outlineLevel="0" collapsed="false">
      <c r="A62" s="1"/>
      <c r="B62" s="35"/>
      <c r="C62" s="34"/>
      <c r="D62" s="35"/>
      <c r="E62" s="35"/>
      <c r="F62" s="35"/>
      <c r="G62" s="36" t="str">
        <f aca="true">IF(OR(C62="",E62=""),"",IF(D62="Yearly",IF(F62="","pick a month →",IF(I62=MONTH(TODAY()),IF(E62&gt;DAY(TODAY()),"still to pay","paid ✓"),"not this month")),IF(E62&gt;DAY(TODAY()),"still to pay","paid ✓")))</f>
        <v/>
      </c>
      <c r="H62" s="37" t="str">
        <f aca="true">IF(OR(C62="",E62=""),"",IF(D62="Yearly",IF(F62="","",IF(DATE(YEAR(TODAY()),I62,E62)&gt;TODAY(),DATE(YEAR(TODAY()),I62,E62),DATE(YEAR(TODAY())+1,I62,E62))),IF(E62&gt;DAY(TODAY()),DATE(YEAR(TODAY()),MONTH(TODAY()),E62),DATE(YEAR(TODAY()),MONTH(TODAY())+1,E62))))</f>
        <v/>
      </c>
      <c r="I62" s="38" t="str">
        <f aca="false">IF(F62="","",MATCH(F62,{"Jan","Feb","Mar","Apr","May","Jun","Jul","Aug","Sep","Oct","Nov","Dec"},0))</f>
        <v/>
      </c>
      <c r="J62" s="1"/>
    </row>
    <row r="63" customFormat="false" ht="15" hidden="false" customHeight="false" outlineLevel="0" collapsed="false">
      <c r="A63" s="1"/>
      <c r="B63" s="35"/>
      <c r="C63" s="34"/>
      <c r="D63" s="35"/>
      <c r="E63" s="35"/>
      <c r="F63" s="35"/>
      <c r="G63" s="36" t="str">
        <f aca="true">IF(OR(C63="",E63=""),"",IF(D63="Yearly",IF(F63="","pick a month →",IF(I63=MONTH(TODAY()),IF(E63&gt;DAY(TODAY()),"still to pay","paid ✓"),"not this month")),IF(E63&gt;DAY(TODAY()),"still to pay","paid ✓")))</f>
        <v/>
      </c>
      <c r="H63" s="37" t="str">
        <f aca="true">IF(OR(C63="",E63=""),"",IF(D63="Yearly",IF(F63="","",IF(DATE(YEAR(TODAY()),I63,E63)&gt;TODAY(),DATE(YEAR(TODAY()),I63,E63),DATE(YEAR(TODAY())+1,I63,E63))),IF(E63&gt;DAY(TODAY()),DATE(YEAR(TODAY()),MONTH(TODAY()),E63),DATE(YEAR(TODAY()),MONTH(TODAY())+1,E63))))</f>
        <v/>
      </c>
      <c r="I63" s="38" t="str">
        <f aca="false">IF(F63="","",MATCH(F63,{"Jan","Feb","Mar","Apr","May","Jun","Jul","Aug","Sep","Oct","Nov","Dec"},0))</f>
        <v/>
      </c>
      <c r="J63" s="1"/>
    </row>
    <row r="64" customFormat="false" ht="15" hidden="false" customHeight="false" outlineLevel="0" collapsed="false">
      <c r="A64" s="1"/>
      <c r="B64" s="35"/>
      <c r="C64" s="34"/>
      <c r="D64" s="35"/>
      <c r="E64" s="35"/>
      <c r="F64" s="35"/>
      <c r="G64" s="36" t="str">
        <f aca="true">IF(OR(C64="",E64=""),"",IF(D64="Yearly",IF(F64="","pick a month →",IF(I64=MONTH(TODAY()),IF(E64&gt;DAY(TODAY()),"still to pay","paid ✓"),"not this month")),IF(E64&gt;DAY(TODAY()),"still to pay","paid ✓")))</f>
        <v/>
      </c>
      <c r="H64" s="37" t="str">
        <f aca="true">IF(OR(C64="",E64=""),"",IF(D64="Yearly",IF(F64="","",IF(DATE(YEAR(TODAY()),I64,E64)&gt;TODAY(),DATE(YEAR(TODAY()),I64,E64),DATE(YEAR(TODAY())+1,I64,E64))),IF(E64&gt;DAY(TODAY()),DATE(YEAR(TODAY()),MONTH(TODAY()),E64),DATE(YEAR(TODAY()),MONTH(TODAY())+1,E64))))</f>
        <v/>
      </c>
      <c r="I64" s="38" t="str">
        <f aca="false">IF(F64="","",MATCH(F64,{"Jan","Feb","Mar","Apr","May","Jun","Jul","Aug","Sep","Oct","Nov","Dec"},0))</f>
        <v/>
      </c>
      <c r="J64" s="1"/>
    </row>
    <row r="65" customFormat="false" ht="15" hidden="false" customHeight="false" outlineLevel="0" collapsed="false">
      <c r="A65" s="1"/>
      <c r="B65" s="35"/>
      <c r="C65" s="34"/>
      <c r="D65" s="35"/>
      <c r="E65" s="35"/>
      <c r="F65" s="35"/>
      <c r="G65" s="36" t="str">
        <f aca="true">IF(OR(C65="",E65=""),"",IF(D65="Yearly",IF(F65="","pick a month →",IF(I65=MONTH(TODAY()),IF(E65&gt;DAY(TODAY()),"still to pay","paid ✓"),"not this month")),IF(E65&gt;DAY(TODAY()),"still to pay","paid ✓")))</f>
        <v/>
      </c>
      <c r="H65" s="37" t="str">
        <f aca="true">IF(OR(C65="",E65=""),"",IF(D65="Yearly",IF(F65="","",IF(DATE(YEAR(TODAY()),I65,E65)&gt;TODAY(),DATE(YEAR(TODAY()),I65,E65),DATE(YEAR(TODAY())+1,I65,E65))),IF(E65&gt;DAY(TODAY()),DATE(YEAR(TODAY()),MONTH(TODAY()),E65),DATE(YEAR(TODAY()),MONTH(TODAY())+1,E65))))</f>
        <v/>
      </c>
      <c r="I65" s="38" t="str">
        <f aca="false">IF(F65="","",MATCH(F65,{"Jan","Feb","Mar","Apr","May","Jun","Jul","Aug","Sep","Oct","Nov","Dec"},0))</f>
        <v/>
      </c>
      <c r="J65" s="1"/>
    </row>
    <row r="66" customFormat="false" ht="15" hidden="false" customHeight="false" outlineLevel="0" collapsed="false">
      <c r="A66" s="1"/>
      <c r="B66" s="35"/>
      <c r="C66" s="34"/>
      <c r="D66" s="35"/>
      <c r="E66" s="35"/>
      <c r="F66" s="35"/>
      <c r="G66" s="36" t="str">
        <f aca="true">IF(OR(C66="",E66=""),"",IF(D66="Yearly",IF(F66="","pick a month →",IF(I66=MONTH(TODAY()),IF(E66&gt;DAY(TODAY()),"still to pay","paid ✓"),"not this month")),IF(E66&gt;DAY(TODAY()),"still to pay","paid ✓")))</f>
        <v/>
      </c>
      <c r="H66" s="37" t="str">
        <f aca="true">IF(OR(C66="",E66=""),"",IF(D66="Yearly",IF(F66="","",IF(DATE(YEAR(TODAY()),I66,E66)&gt;TODAY(),DATE(YEAR(TODAY()),I66,E66),DATE(YEAR(TODAY())+1,I66,E66))),IF(E66&gt;DAY(TODAY()),DATE(YEAR(TODAY()),MONTH(TODAY()),E66),DATE(YEAR(TODAY()),MONTH(TODAY())+1,E66))))</f>
        <v/>
      </c>
      <c r="I66" s="38" t="str">
        <f aca="false">IF(F66="","",MATCH(F66,{"Jan","Feb","Mar","Apr","May","Jun","Jul","Aug","Sep","Oct","Nov","Dec"},0))</f>
        <v/>
      </c>
      <c r="J66" s="1"/>
    </row>
    <row r="67" customFormat="false" ht="15" hidden="false" customHeight="false" outlineLevel="0" collapsed="false">
      <c r="A67" s="1"/>
      <c r="B67" s="35"/>
      <c r="C67" s="34"/>
      <c r="D67" s="35"/>
      <c r="E67" s="35"/>
      <c r="F67" s="35"/>
      <c r="G67" s="36" t="str">
        <f aca="true">IF(OR(C67="",E67=""),"",IF(D67="Yearly",IF(F67="","pick a month →",IF(I67=MONTH(TODAY()),IF(E67&gt;DAY(TODAY()),"still to pay","paid ✓"),"not this month")),IF(E67&gt;DAY(TODAY()),"still to pay","paid ✓")))</f>
        <v/>
      </c>
      <c r="H67" s="37" t="str">
        <f aca="true">IF(OR(C67="",E67=""),"",IF(D67="Yearly",IF(F67="","",IF(DATE(YEAR(TODAY()),I67,E67)&gt;TODAY(),DATE(YEAR(TODAY()),I67,E67),DATE(YEAR(TODAY())+1,I67,E67))),IF(E67&gt;DAY(TODAY()),DATE(YEAR(TODAY()),MONTH(TODAY()),E67),DATE(YEAR(TODAY()),MONTH(TODAY())+1,E67))))</f>
        <v/>
      </c>
      <c r="I67" s="38" t="str">
        <f aca="false">IF(F67="","",MATCH(F67,{"Jan","Feb","Mar","Apr","May","Jun","Jul","Aug","Sep","Oct","Nov","Dec"},0))</f>
        <v/>
      </c>
      <c r="J67" s="1"/>
    </row>
    <row r="68" customFormat="false" ht="15" hidden="false" customHeight="false" outlineLevel="0" collapsed="false">
      <c r="A68" s="1"/>
      <c r="B68" s="35"/>
      <c r="C68" s="34"/>
      <c r="D68" s="35"/>
      <c r="E68" s="35"/>
      <c r="F68" s="35"/>
      <c r="G68" s="36" t="str">
        <f aca="true">IF(OR(C68="",E68=""),"",IF(D68="Yearly",IF(F68="","pick a month →",IF(I68=MONTH(TODAY()),IF(E68&gt;DAY(TODAY()),"still to pay","paid ✓"),"not this month")),IF(E68&gt;DAY(TODAY()),"still to pay","paid ✓")))</f>
        <v/>
      </c>
      <c r="H68" s="37" t="str">
        <f aca="true">IF(OR(C68="",E68=""),"",IF(D68="Yearly",IF(F68="","",IF(DATE(YEAR(TODAY()),I68,E68)&gt;TODAY(),DATE(YEAR(TODAY()),I68,E68),DATE(YEAR(TODAY())+1,I68,E68))),IF(E68&gt;DAY(TODAY()),DATE(YEAR(TODAY()),MONTH(TODAY()),E68),DATE(YEAR(TODAY()),MONTH(TODAY())+1,E68))))</f>
        <v/>
      </c>
      <c r="I68" s="38" t="str">
        <f aca="false">IF(F68="","",MATCH(F68,{"Jan","Feb","Mar","Apr","May","Jun","Jul","Aug","Sep","Oct","Nov","Dec"},0))</f>
        <v/>
      </c>
      <c r="J68" s="1"/>
    </row>
    <row r="69" customFormat="false" ht="15" hidden="false" customHeight="false" outlineLevel="0" collapsed="false">
      <c r="A69" s="1"/>
      <c r="B69" s="35"/>
      <c r="C69" s="34"/>
      <c r="D69" s="35"/>
      <c r="E69" s="35"/>
      <c r="F69" s="35"/>
      <c r="G69" s="36" t="str">
        <f aca="true">IF(OR(C69="",E69=""),"",IF(D69="Yearly",IF(F69="","pick a month →",IF(I69=MONTH(TODAY()),IF(E69&gt;DAY(TODAY()),"still to pay","paid ✓"),"not this month")),IF(E69&gt;DAY(TODAY()),"still to pay","paid ✓")))</f>
        <v/>
      </c>
      <c r="H69" s="37" t="str">
        <f aca="true">IF(OR(C69="",E69=""),"",IF(D69="Yearly",IF(F69="","",IF(DATE(YEAR(TODAY()),I69,E69)&gt;TODAY(),DATE(YEAR(TODAY()),I69,E69),DATE(YEAR(TODAY())+1,I69,E69))),IF(E69&gt;DAY(TODAY()),DATE(YEAR(TODAY()),MONTH(TODAY()),E69),DATE(YEAR(TODAY()),MONTH(TODAY())+1,E69))))</f>
        <v/>
      </c>
      <c r="I69" s="38" t="str">
        <f aca="false">IF(F69="","",MATCH(F69,{"Jan","Feb","Mar","Apr","May","Jun","Jul","Aug","Sep","Oct","Nov","Dec"},0))</f>
        <v/>
      </c>
      <c r="J69" s="1"/>
    </row>
    <row r="70" customFormat="false" ht="15" hidden="false" customHeight="false" outlineLevel="0" collapsed="false">
      <c r="A70" s="1"/>
      <c r="B70" s="35"/>
      <c r="C70" s="34"/>
      <c r="D70" s="35"/>
      <c r="E70" s="35"/>
      <c r="F70" s="35"/>
      <c r="G70" s="36" t="str">
        <f aca="true">IF(OR(C70="",E70=""),"",IF(D70="Yearly",IF(F70="","pick a month →",IF(I70=MONTH(TODAY()),IF(E70&gt;DAY(TODAY()),"still to pay","paid ✓"),"not this month")),IF(E70&gt;DAY(TODAY()),"still to pay","paid ✓")))</f>
        <v/>
      </c>
      <c r="H70" s="37" t="str">
        <f aca="true">IF(OR(C70="",E70=""),"",IF(D70="Yearly",IF(F70="","",IF(DATE(YEAR(TODAY()),I70,E70)&gt;TODAY(),DATE(YEAR(TODAY()),I70,E70),DATE(YEAR(TODAY())+1,I70,E70))),IF(E70&gt;DAY(TODAY()),DATE(YEAR(TODAY()),MONTH(TODAY()),E70),DATE(YEAR(TODAY()),MONTH(TODAY())+1,E70))))</f>
        <v/>
      </c>
      <c r="I70" s="38" t="str">
        <f aca="false">IF(F70="","",MATCH(F70,{"Jan","Feb","Mar","Apr","May","Jun","Jul","Aug","Sep","Oct","Nov","Dec"},0))</f>
        <v/>
      </c>
      <c r="J70" s="1"/>
    </row>
    <row r="71" customFormat="false" ht="15" hidden="false" customHeight="false" outlineLevel="0" collapsed="false">
      <c r="A71" s="1"/>
      <c r="B71" s="35"/>
      <c r="C71" s="34"/>
      <c r="D71" s="35"/>
      <c r="E71" s="35"/>
      <c r="F71" s="35"/>
      <c r="G71" s="36" t="str">
        <f aca="true">IF(OR(C71="",E71=""),"",IF(D71="Yearly",IF(F71="","pick a month →",IF(I71=MONTH(TODAY()),IF(E71&gt;DAY(TODAY()),"still to pay","paid ✓"),"not this month")),IF(E71&gt;DAY(TODAY()),"still to pay","paid ✓")))</f>
        <v/>
      </c>
      <c r="H71" s="37" t="str">
        <f aca="true">IF(OR(C71="",E71=""),"",IF(D71="Yearly",IF(F71="","",IF(DATE(YEAR(TODAY()),I71,E71)&gt;TODAY(),DATE(YEAR(TODAY()),I71,E71),DATE(YEAR(TODAY())+1,I71,E71))),IF(E71&gt;DAY(TODAY()),DATE(YEAR(TODAY()),MONTH(TODAY()),E71),DATE(YEAR(TODAY()),MONTH(TODAY())+1,E71))))</f>
        <v/>
      </c>
      <c r="I71" s="38" t="str">
        <f aca="false">IF(F71="","",MATCH(F71,{"Jan","Feb","Mar","Apr","May","Jun","Jul","Aug","Sep","Oct","Nov","Dec"},0))</f>
        <v/>
      </c>
      <c r="J71" s="1"/>
    </row>
    <row r="72" customFormat="false" ht="15" hidden="false" customHeight="false" outlineLevel="0" collapsed="false">
      <c r="A72" s="1"/>
      <c r="B72" s="35"/>
      <c r="C72" s="34"/>
      <c r="D72" s="35"/>
      <c r="E72" s="35"/>
      <c r="F72" s="35"/>
      <c r="G72" s="36" t="str">
        <f aca="true">IF(OR(C72="",E72=""),"",IF(D72="Yearly",IF(F72="","pick a month →",IF(I72=MONTH(TODAY()),IF(E72&gt;DAY(TODAY()),"still to pay","paid ✓"),"not this month")),IF(E72&gt;DAY(TODAY()),"still to pay","paid ✓")))</f>
        <v/>
      </c>
      <c r="H72" s="37" t="str">
        <f aca="true">IF(OR(C72="",E72=""),"",IF(D72="Yearly",IF(F72="","",IF(DATE(YEAR(TODAY()),I72,E72)&gt;TODAY(),DATE(YEAR(TODAY()),I72,E72),DATE(YEAR(TODAY())+1,I72,E72))),IF(E72&gt;DAY(TODAY()),DATE(YEAR(TODAY()),MONTH(TODAY()),E72),DATE(YEAR(TODAY()),MONTH(TODAY())+1,E72))))</f>
        <v/>
      </c>
      <c r="I72" s="38" t="str">
        <f aca="false">IF(F72="","",MATCH(F72,{"Jan","Feb","Mar","Apr","May","Jun","Jul","Aug","Sep","Oct","Nov","Dec"},0))</f>
        <v/>
      </c>
      <c r="J72" s="1"/>
    </row>
    <row r="73" customFormat="false" ht="15" hidden="false" customHeight="false" outlineLevel="0" collapsed="false">
      <c r="A73" s="1"/>
      <c r="B73" s="35"/>
      <c r="C73" s="34"/>
      <c r="D73" s="35"/>
      <c r="E73" s="35"/>
      <c r="F73" s="35"/>
      <c r="G73" s="36" t="str">
        <f aca="true">IF(OR(C73="",E73=""),"",IF(D73="Yearly",IF(F73="","pick a month →",IF(I73=MONTH(TODAY()),IF(E73&gt;DAY(TODAY()),"still to pay","paid ✓"),"not this month")),IF(E73&gt;DAY(TODAY()),"still to pay","paid ✓")))</f>
        <v/>
      </c>
      <c r="H73" s="37" t="str">
        <f aca="true">IF(OR(C73="",E73=""),"",IF(D73="Yearly",IF(F73="","",IF(DATE(YEAR(TODAY()),I73,E73)&gt;TODAY(),DATE(YEAR(TODAY()),I73,E73),DATE(YEAR(TODAY())+1,I73,E73))),IF(E73&gt;DAY(TODAY()),DATE(YEAR(TODAY()),MONTH(TODAY()),E73),DATE(YEAR(TODAY()),MONTH(TODAY())+1,E73))))</f>
        <v/>
      </c>
      <c r="I73" s="38" t="str">
        <f aca="false">IF(F73="","",MATCH(F73,{"Jan","Feb","Mar","Apr","May","Jun","Jul","Aug","Sep","Oct","Nov","Dec"},0))</f>
        <v/>
      </c>
      <c r="J73" s="1"/>
    </row>
    <row r="74" customFormat="false" ht="15" hidden="false" customHeight="false" outlineLevel="0" collapsed="false">
      <c r="A74" s="1"/>
      <c r="B74" s="35"/>
      <c r="C74" s="34"/>
      <c r="D74" s="35"/>
      <c r="E74" s="35"/>
      <c r="F74" s="35"/>
      <c r="G74" s="36" t="str">
        <f aca="true">IF(OR(C74="",E74=""),"",IF(D74="Yearly",IF(F74="","pick a month →",IF(I74=MONTH(TODAY()),IF(E74&gt;DAY(TODAY()),"still to pay","paid ✓"),"not this month")),IF(E74&gt;DAY(TODAY()),"still to pay","paid ✓")))</f>
        <v/>
      </c>
      <c r="H74" s="37" t="str">
        <f aca="true">IF(OR(C74="",E74=""),"",IF(D74="Yearly",IF(F74="","",IF(DATE(YEAR(TODAY()),I74,E74)&gt;TODAY(),DATE(YEAR(TODAY()),I74,E74),DATE(YEAR(TODAY())+1,I74,E74))),IF(E74&gt;DAY(TODAY()),DATE(YEAR(TODAY()),MONTH(TODAY()),E74),DATE(YEAR(TODAY()),MONTH(TODAY())+1,E74))))</f>
        <v/>
      </c>
      <c r="I74" s="38" t="str">
        <f aca="false">IF(F74="","",MATCH(F74,{"Jan","Feb","Mar","Apr","May","Jun","Jul","Aug","Sep","Oct","Nov","Dec"},0))</f>
        <v/>
      </c>
      <c r="J74" s="1"/>
    </row>
    <row r="75" customFormat="false" ht="15" hidden="false" customHeight="false" outlineLevel="0" collapsed="false">
      <c r="A75" s="1"/>
      <c r="B75" s="35"/>
      <c r="C75" s="34"/>
      <c r="D75" s="35"/>
      <c r="E75" s="35"/>
      <c r="F75" s="35"/>
      <c r="G75" s="36" t="str">
        <f aca="true">IF(OR(C75="",E75=""),"",IF(D75="Yearly",IF(F75="","pick a month →",IF(I75=MONTH(TODAY()),IF(E75&gt;DAY(TODAY()),"still to pay","paid ✓"),"not this month")),IF(E75&gt;DAY(TODAY()),"still to pay","paid ✓")))</f>
        <v/>
      </c>
      <c r="H75" s="37" t="str">
        <f aca="true">IF(OR(C75="",E75=""),"",IF(D75="Yearly",IF(F75="","",IF(DATE(YEAR(TODAY()),I75,E75)&gt;TODAY(),DATE(YEAR(TODAY()),I75,E75),DATE(YEAR(TODAY())+1,I75,E75))),IF(E75&gt;DAY(TODAY()),DATE(YEAR(TODAY()),MONTH(TODAY()),E75),DATE(YEAR(TODAY()),MONTH(TODAY())+1,E75))))</f>
        <v/>
      </c>
      <c r="I75" s="38" t="str">
        <f aca="false">IF(F75="","",MATCH(F75,{"Jan","Feb","Mar","Apr","May","Jun","Jul","Aug","Sep","Oct","Nov","Dec"},0))</f>
        <v/>
      </c>
      <c r="J75" s="1"/>
    </row>
    <row r="76" customFormat="false" ht="15" hidden="false" customHeight="false" outlineLevel="0" collapsed="false">
      <c r="A76" s="1"/>
      <c r="B76" s="35"/>
      <c r="C76" s="34"/>
      <c r="D76" s="35"/>
      <c r="E76" s="35"/>
      <c r="F76" s="35"/>
      <c r="G76" s="36" t="str">
        <f aca="true">IF(OR(C76="",E76=""),"",IF(D76="Yearly",IF(F76="","pick a month →",IF(I76=MONTH(TODAY()),IF(E76&gt;DAY(TODAY()),"still to pay","paid ✓"),"not this month")),IF(E76&gt;DAY(TODAY()),"still to pay","paid ✓")))</f>
        <v/>
      </c>
      <c r="H76" s="37" t="str">
        <f aca="true">IF(OR(C76="",E76=""),"",IF(D76="Yearly",IF(F76="","",IF(DATE(YEAR(TODAY()),I76,E76)&gt;TODAY(),DATE(YEAR(TODAY()),I76,E76),DATE(YEAR(TODAY())+1,I76,E76))),IF(E76&gt;DAY(TODAY()),DATE(YEAR(TODAY()),MONTH(TODAY()),E76),DATE(YEAR(TODAY()),MONTH(TODAY())+1,E76))))</f>
        <v/>
      </c>
      <c r="I76" s="38" t="str">
        <f aca="false">IF(F76="","",MATCH(F76,{"Jan","Feb","Mar","Apr","May","Jun","Jul","Aug","Sep","Oct","Nov","Dec"},0))</f>
        <v/>
      </c>
      <c r="J76" s="1"/>
    </row>
    <row r="77" customFormat="false" ht="15" hidden="false" customHeight="false" outlineLevel="0" collapsed="false">
      <c r="A77" s="1"/>
      <c r="B77" s="35"/>
      <c r="C77" s="34"/>
      <c r="D77" s="35"/>
      <c r="E77" s="35"/>
      <c r="F77" s="35"/>
      <c r="G77" s="36" t="str">
        <f aca="true">IF(OR(C77="",E77=""),"",IF(D77="Yearly",IF(F77="","pick a month →",IF(I77=MONTH(TODAY()),IF(E77&gt;DAY(TODAY()),"still to pay","paid ✓"),"not this month")),IF(E77&gt;DAY(TODAY()),"still to pay","paid ✓")))</f>
        <v/>
      </c>
      <c r="H77" s="37" t="str">
        <f aca="true">IF(OR(C77="",E77=""),"",IF(D77="Yearly",IF(F77="","",IF(DATE(YEAR(TODAY()),I77,E77)&gt;TODAY(),DATE(YEAR(TODAY()),I77,E77),DATE(YEAR(TODAY())+1,I77,E77))),IF(E77&gt;DAY(TODAY()),DATE(YEAR(TODAY()),MONTH(TODAY()),E77),DATE(YEAR(TODAY()),MONTH(TODAY())+1,E77))))</f>
        <v/>
      </c>
      <c r="I77" s="38" t="str">
        <f aca="false">IF(F77="","",MATCH(F77,{"Jan","Feb","Mar","Apr","May","Jun","Jul","Aug","Sep","Oct","Nov","Dec"},0))</f>
        <v/>
      </c>
      <c r="J77" s="1"/>
    </row>
    <row r="78" customFormat="false" ht="15" hidden="false" customHeight="false" outlineLevel="0" collapsed="false">
      <c r="A78" s="1"/>
      <c r="B78" s="35"/>
      <c r="C78" s="34"/>
      <c r="D78" s="35"/>
      <c r="E78" s="35"/>
      <c r="F78" s="35"/>
      <c r="G78" s="36" t="str">
        <f aca="true">IF(OR(C78="",E78=""),"",IF(D78="Yearly",IF(F78="","pick a month →",IF(I78=MONTH(TODAY()),IF(E78&gt;DAY(TODAY()),"still to pay","paid ✓"),"not this month")),IF(E78&gt;DAY(TODAY()),"still to pay","paid ✓")))</f>
        <v/>
      </c>
      <c r="H78" s="37" t="str">
        <f aca="true">IF(OR(C78="",E78=""),"",IF(D78="Yearly",IF(F78="","",IF(DATE(YEAR(TODAY()),I78,E78)&gt;TODAY(),DATE(YEAR(TODAY()),I78,E78),DATE(YEAR(TODAY())+1,I78,E78))),IF(E78&gt;DAY(TODAY()),DATE(YEAR(TODAY()),MONTH(TODAY()),E78),DATE(YEAR(TODAY()),MONTH(TODAY())+1,E78))))</f>
        <v/>
      </c>
      <c r="I78" s="38" t="str">
        <f aca="false">IF(F78="","",MATCH(F78,{"Jan","Feb","Mar","Apr","May","Jun","Jul","Aug","Sep","Oct","Nov","Dec"},0))</f>
        <v/>
      </c>
      <c r="J78" s="1"/>
    </row>
    <row r="79" customFormat="false" ht="15" hidden="false" customHeight="false" outlineLevel="0" collapsed="false">
      <c r="A79" s="1"/>
      <c r="B79" s="35"/>
      <c r="C79" s="34"/>
      <c r="D79" s="35"/>
      <c r="E79" s="35"/>
      <c r="F79" s="35"/>
      <c r="G79" s="36" t="str">
        <f aca="true">IF(OR(C79="",E79=""),"",IF(D79="Yearly",IF(F79="","pick a month →",IF(I79=MONTH(TODAY()),IF(E79&gt;DAY(TODAY()),"still to pay","paid ✓"),"not this month")),IF(E79&gt;DAY(TODAY()),"still to pay","paid ✓")))</f>
        <v/>
      </c>
      <c r="H79" s="37" t="str">
        <f aca="true">IF(OR(C79="",E79=""),"",IF(D79="Yearly",IF(F79="","",IF(DATE(YEAR(TODAY()),I79,E79)&gt;TODAY(),DATE(YEAR(TODAY()),I79,E79),DATE(YEAR(TODAY())+1,I79,E79))),IF(E79&gt;DAY(TODAY()),DATE(YEAR(TODAY()),MONTH(TODAY()),E79),DATE(YEAR(TODAY()),MONTH(TODAY())+1,E79))))</f>
        <v/>
      </c>
      <c r="I79" s="38" t="str">
        <f aca="false">IF(F79="","",MATCH(F79,{"Jan","Feb","Mar","Apr","May","Jun","Jul","Aug","Sep","Oct","Nov","Dec"},0))</f>
        <v/>
      </c>
      <c r="J79" s="1"/>
    </row>
    <row r="80" customFormat="false" ht="15" hidden="false" customHeight="false" outlineLevel="0" collapsed="false">
      <c r="A80" s="1"/>
      <c r="B80" s="35"/>
      <c r="C80" s="34"/>
      <c r="D80" s="35"/>
      <c r="E80" s="35"/>
      <c r="F80" s="35"/>
      <c r="G80" s="36" t="str">
        <f aca="true">IF(OR(C80="",E80=""),"",IF(D80="Yearly",IF(F80="","pick a month →",IF(I80=MONTH(TODAY()),IF(E80&gt;DAY(TODAY()),"still to pay","paid ✓"),"not this month")),IF(E80&gt;DAY(TODAY()),"still to pay","paid ✓")))</f>
        <v/>
      </c>
      <c r="H80" s="37" t="str">
        <f aca="true">IF(OR(C80="",E80=""),"",IF(D80="Yearly",IF(F80="","",IF(DATE(YEAR(TODAY()),I80,E80)&gt;TODAY(),DATE(YEAR(TODAY()),I80,E80),DATE(YEAR(TODAY())+1,I80,E80))),IF(E80&gt;DAY(TODAY()),DATE(YEAR(TODAY()),MONTH(TODAY()),E80),DATE(YEAR(TODAY()),MONTH(TODAY())+1,E80))))</f>
        <v/>
      </c>
      <c r="I80" s="38" t="str">
        <f aca="false">IF(F80="","",MATCH(F80,{"Jan","Feb","Mar","Apr","May","Jun","Jul","Aug","Sep","Oct","Nov","Dec"},0))</f>
        <v/>
      </c>
      <c r="J80" s="1"/>
    </row>
    <row r="81" customFormat="false" ht="15" hidden="false" customHeight="false" outlineLevel="0" collapsed="false">
      <c r="A81" s="1"/>
      <c r="B81" s="35"/>
      <c r="C81" s="34"/>
      <c r="D81" s="35"/>
      <c r="E81" s="35"/>
      <c r="F81" s="35"/>
      <c r="G81" s="36" t="str">
        <f aca="true">IF(OR(C81="",E81=""),"",IF(D81="Yearly",IF(F81="","pick a month →",IF(I81=MONTH(TODAY()),IF(E81&gt;DAY(TODAY()),"still to pay","paid ✓"),"not this month")),IF(E81&gt;DAY(TODAY()),"still to pay","paid ✓")))</f>
        <v/>
      </c>
      <c r="H81" s="37" t="str">
        <f aca="true">IF(OR(C81="",E81=""),"",IF(D81="Yearly",IF(F81="","",IF(DATE(YEAR(TODAY()),I81,E81)&gt;TODAY(),DATE(YEAR(TODAY()),I81,E81),DATE(YEAR(TODAY())+1,I81,E81))),IF(E81&gt;DAY(TODAY()),DATE(YEAR(TODAY()),MONTH(TODAY()),E81),DATE(YEAR(TODAY()),MONTH(TODAY())+1,E81))))</f>
        <v/>
      </c>
      <c r="I81" s="38" t="str">
        <f aca="false">IF(F81="","",MATCH(F81,{"Jan","Feb","Mar","Apr","May","Jun","Jul","Aug","Sep","Oct","Nov","Dec"},0))</f>
        <v/>
      </c>
      <c r="J81" s="1"/>
    </row>
    <row r="82" customFormat="false" ht="15" hidden="false" customHeight="false" outlineLevel="0" collapsed="false">
      <c r="A82" s="1"/>
      <c r="B82" s="35"/>
      <c r="C82" s="34"/>
      <c r="D82" s="35"/>
      <c r="E82" s="35"/>
      <c r="F82" s="35"/>
      <c r="G82" s="36" t="str">
        <f aca="true">IF(OR(C82="",E82=""),"",IF(D82="Yearly",IF(F82="","pick a month →",IF(I82=MONTH(TODAY()),IF(E82&gt;DAY(TODAY()),"still to pay","paid ✓"),"not this month")),IF(E82&gt;DAY(TODAY()),"still to pay","paid ✓")))</f>
        <v/>
      </c>
      <c r="H82" s="37" t="str">
        <f aca="true">IF(OR(C82="",E82=""),"",IF(D82="Yearly",IF(F82="","",IF(DATE(YEAR(TODAY()),I82,E82)&gt;TODAY(),DATE(YEAR(TODAY()),I82,E82),DATE(YEAR(TODAY())+1,I82,E82))),IF(E82&gt;DAY(TODAY()),DATE(YEAR(TODAY()),MONTH(TODAY()),E82),DATE(YEAR(TODAY()),MONTH(TODAY())+1,E82))))</f>
        <v/>
      </c>
      <c r="I82" s="38" t="str">
        <f aca="false">IF(F82="","",MATCH(F82,{"Jan","Feb","Mar","Apr","May","Jun","Jul","Aug","Sep","Oct","Nov","Dec"},0))</f>
        <v/>
      </c>
      <c r="J82" s="1"/>
    </row>
    <row r="83" customFormat="false" ht="15" hidden="false" customHeight="false" outlineLevel="0" collapsed="false">
      <c r="A83" s="1"/>
      <c r="B83" s="35"/>
      <c r="C83" s="34"/>
      <c r="D83" s="35"/>
      <c r="E83" s="35"/>
      <c r="F83" s="35"/>
      <c r="G83" s="36" t="str">
        <f aca="true">IF(OR(C83="",E83=""),"",IF(D83="Yearly",IF(F83="","pick a month →",IF(I83=MONTH(TODAY()),IF(E83&gt;DAY(TODAY()),"still to pay","paid ✓"),"not this month")),IF(E83&gt;DAY(TODAY()),"still to pay","paid ✓")))</f>
        <v/>
      </c>
      <c r="H83" s="37" t="str">
        <f aca="true">IF(OR(C83="",E83=""),"",IF(D83="Yearly",IF(F83="","",IF(DATE(YEAR(TODAY()),I83,E83)&gt;TODAY(),DATE(YEAR(TODAY()),I83,E83),DATE(YEAR(TODAY())+1,I83,E83))),IF(E83&gt;DAY(TODAY()),DATE(YEAR(TODAY()),MONTH(TODAY()),E83),DATE(YEAR(TODAY()),MONTH(TODAY())+1,E83))))</f>
        <v/>
      </c>
      <c r="I83" s="38" t="str">
        <f aca="false">IF(F83="","",MATCH(F83,{"Jan","Feb","Mar","Apr","May","Jun","Jul","Aug","Sep","Oct","Nov","Dec"},0))</f>
        <v/>
      </c>
      <c r="J83" s="1"/>
    </row>
    <row r="84" customFormat="false" ht="15" hidden="false" customHeight="false" outlineLevel="0" collapsed="false">
      <c r="A84" s="1"/>
      <c r="B84" s="35"/>
      <c r="C84" s="34"/>
      <c r="D84" s="35"/>
      <c r="E84" s="35"/>
      <c r="F84" s="35"/>
      <c r="G84" s="36" t="str">
        <f aca="true">IF(OR(C84="",E84=""),"",IF(D84="Yearly",IF(F84="","pick a month →",IF(I84=MONTH(TODAY()),IF(E84&gt;DAY(TODAY()),"still to pay","paid ✓"),"not this month")),IF(E84&gt;DAY(TODAY()),"still to pay","paid ✓")))</f>
        <v/>
      </c>
      <c r="H84" s="37" t="str">
        <f aca="true">IF(OR(C84="",E84=""),"",IF(D84="Yearly",IF(F84="","",IF(DATE(YEAR(TODAY()),I84,E84)&gt;TODAY(),DATE(YEAR(TODAY()),I84,E84),DATE(YEAR(TODAY())+1,I84,E84))),IF(E84&gt;DAY(TODAY()),DATE(YEAR(TODAY()),MONTH(TODAY()),E84),DATE(YEAR(TODAY()),MONTH(TODAY())+1,E84))))</f>
        <v/>
      </c>
      <c r="I84" s="38" t="str">
        <f aca="false">IF(F84="","",MATCH(F84,{"Jan","Feb","Mar","Apr","May","Jun","Jul","Aug","Sep","Oct","Nov","Dec"},0))</f>
        <v/>
      </c>
      <c r="J84" s="1"/>
    </row>
    <row r="85" customFormat="false" ht="15" hidden="false" customHeight="false" outlineLevel="0" collapsed="false">
      <c r="A85" s="1"/>
      <c r="B85" s="35"/>
      <c r="C85" s="34"/>
      <c r="D85" s="35"/>
      <c r="E85" s="35"/>
      <c r="F85" s="35"/>
      <c r="G85" s="36" t="str">
        <f aca="true">IF(OR(C85="",E85=""),"",IF(D85="Yearly",IF(F85="","pick a month →",IF(I85=MONTH(TODAY()),IF(E85&gt;DAY(TODAY()),"still to pay","paid ✓"),"not this month")),IF(E85&gt;DAY(TODAY()),"still to pay","paid ✓")))</f>
        <v/>
      </c>
      <c r="H85" s="37" t="str">
        <f aca="true">IF(OR(C85="",E85=""),"",IF(D85="Yearly",IF(F85="","",IF(DATE(YEAR(TODAY()),I85,E85)&gt;TODAY(),DATE(YEAR(TODAY()),I85,E85),DATE(YEAR(TODAY())+1,I85,E85))),IF(E85&gt;DAY(TODAY()),DATE(YEAR(TODAY()),MONTH(TODAY()),E85),DATE(YEAR(TODAY()),MONTH(TODAY())+1,E85))))</f>
        <v/>
      </c>
      <c r="I85" s="38" t="str">
        <f aca="false">IF(F85="","",MATCH(F85,{"Jan","Feb","Mar","Apr","May","Jun","Jul","Aug","Sep","Oct","Nov","Dec"},0))</f>
        <v/>
      </c>
      <c r="J85" s="1"/>
    </row>
    <row r="86" customFormat="false" ht="15" hidden="false" customHeight="false" outlineLevel="0" collapsed="false">
      <c r="A86" s="1"/>
      <c r="B86" s="35"/>
      <c r="C86" s="34"/>
      <c r="D86" s="35"/>
      <c r="E86" s="35"/>
      <c r="F86" s="35"/>
      <c r="G86" s="36" t="str">
        <f aca="true">IF(OR(C86="",E86=""),"",IF(D86="Yearly",IF(F86="","pick a month →",IF(I86=MONTH(TODAY()),IF(E86&gt;DAY(TODAY()),"still to pay","paid ✓"),"not this month")),IF(E86&gt;DAY(TODAY()),"still to pay","paid ✓")))</f>
        <v/>
      </c>
      <c r="H86" s="37" t="str">
        <f aca="true">IF(OR(C86="",E86=""),"",IF(D86="Yearly",IF(F86="","",IF(DATE(YEAR(TODAY()),I86,E86)&gt;TODAY(),DATE(YEAR(TODAY()),I86,E86),DATE(YEAR(TODAY())+1,I86,E86))),IF(E86&gt;DAY(TODAY()),DATE(YEAR(TODAY()),MONTH(TODAY()),E86),DATE(YEAR(TODAY()),MONTH(TODAY())+1,E86))))</f>
        <v/>
      </c>
      <c r="I86" s="38" t="str">
        <f aca="false">IF(F86="","",MATCH(F86,{"Jan","Feb","Mar","Apr","May","Jun","Jul","Aug","Sep","Oct","Nov","Dec"},0))</f>
        <v/>
      </c>
      <c r="J86" s="1"/>
    </row>
    <row r="87" customFormat="false" ht="15" hidden="false" customHeight="false" outlineLevel="0" collapsed="false">
      <c r="A87" s="1"/>
      <c r="B87" s="35"/>
      <c r="C87" s="34"/>
      <c r="D87" s="35"/>
      <c r="E87" s="35"/>
      <c r="F87" s="35"/>
      <c r="G87" s="36" t="str">
        <f aca="true">IF(OR(C87="",E87=""),"",IF(D87="Yearly",IF(F87="","pick a month →",IF(I87=MONTH(TODAY()),IF(E87&gt;DAY(TODAY()),"still to pay","paid ✓"),"not this month")),IF(E87&gt;DAY(TODAY()),"still to pay","paid ✓")))</f>
        <v/>
      </c>
      <c r="H87" s="37" t="str">
        <f aca="true">IF(OR(C87="",E87=""),"",IF(D87="Yearly",IF(F87="","",IF(DATE(YEAR(TODAY()),I87,E87)&gt;TODAY(),DATE(YEAR(TODAY()),I87,E87),DATE(YEAR(TODAY())+1,I87,E87))),IF(E87&gt;DAY(TODAY()),DATE(YEAR(TODAY()),MONTH(TODAY()),E87),DATE(YEAR(TODAY()),MONTH(TODAY())+1,E87))))</f>
        <v/>
      </c>
      <c r="I87" s="38" t="str">
        <f aca="false">IF(F87="","",MATCH(F87,{"Jan","Feb","Mar","Apr","May","Jun","Jul","Aug","Sep","Oct","Nov","Dec"},0))</f>
        <v/>
      </c>
      <c r="J87" s="1"/>
    </row>
    <row r="88" customFormat="false" ht="15" hidden="false" customHeight="false" outlineLevel="0" collapsed="false">
      <c r="A88" s="1"/>
      <c r="B88" s="35"/>
      <c r="C88" s="34"/>
      <c r="D88" s="35"/>
      <c r="E88" s="35"/>
      <c r="F88" s="35"/>
      <c r="G88" s="36" t="str">
        <f aca="true">IF(OR(C88="",E88=""),"",IF(D88="Yearly",IF(F88="","pick a month →",IF(I88=MONTH(TODAY()),IF(E88&gt;DAY(TODAY()),"still to pay","paid ✓"),"not this month")),IF(E88&gt;DAY(TODAY()),"still to pay","paid ✓")))</f>
        <v/>
      </c>
      <c r="H88" s="37" t="str">
        <f aca="true">IF(OR(C88="",E88=""),"",IF(D88="Yearly",IF(F88="","",IF(DATE(YEAR(TODAY()),I88,E88)&gt;TODAY(),DATE(YEAR(TODAY()),I88,E88),DATE(YEAR(TODAY())+1,I88,E88))),IF(E88&gt;DAY(TODAY()),DATE(YEAR(TODAY()),MONTH(TODAY()),E88),DATE(YEAR(TODAY()),MONTH(TODAY())+1,E88))))</f>
        <v/>
      </c>
      <c r="I88" s="38" t="str">
        <f aca="false">IF(F88="","",MATCH(F88,{"Jan","Feb","Mar","Apr","May","Jun","Jul","Aug","Sep","Oct","Nov","Dec"},0))</f>
        <v/>
      </c>
      <c r="J88" s="1"/>
    </row>
    <row r="89" customFormat="false" ht="15" hidden="false" customHeight="false" outlineLevel="0" collapsed="false">
      <c r="A89" s="1"/>
      <c r="B89" s="35"/>
      <c r="C89" s="34"/>
      <c r="D89" s="35"/>
      <c r="E89" s="35"/>
      <c r="F89" s="35"/>
      <c r="G89" s="36" t="str">
        <f aca="true">IF(OR(C89="",E89=""),"",IF(D89="Yearly",IF(F89="","pick a month →",IF(I89=MONTH(TODAY()),IF(E89&gt;DAY(TODAY()),"still to pay","paid ✓"),"not this month")),IF(E89&gt;DAY(TODAY()),"still to pay","paid ✓")))</f>
        <v/>
      </c>
      <c r="H89" s="37" t="str">
        <f aca="true">IF(OR(C89="",E89=""),"",IF(D89="Yearly",IF(F89="","",IF(DATE(YEAR(TODAY()),I89,E89)&gt;TODAY(),DATE(YEAR(TODAY()),I89,E89),DATE(YEAR(TODAY())+1,I89,E89))),IF(E89&gt;DAY(TODAY()),DATE(YEAR(TODAY()),MONTH(TODAY()),E89),DATE(YEAR(TODAY()),MONTH(TODAY())+1,E89))))</f>
        <v/>
      </c>
      <c r="I89" s="38" t="str">
        <f aca="false">IF(F89="","",MATCH(F89,{"Jan","Feb","Mar","Apr","May","Jun","Jul","Aug","Sep","Oct","Nov","Dec"},0))</f>
        <v/>
      </c>
      <c r="J89" s="1"/>
    </row>
    <row r="90" customFormat="false" ht="15" hidden="false" customHeight="false" outlineLevel="0" collapsed="false">
      <c r="A90" s="1"/>
      <c r="B90" s="35"/>
      <c r="C90" s="34"/>
      <c r="D90" s="35"/>
      <c r="E90" s="35"/>
      <c r="F90" s="35"/>
      <c r="G90" s="36" t="str">
        <f aca="true">IF(OR(C90="",E90=""),"",IF(D90="Yearly",IF(F90="","pick a month →",IF(I90=MONTH(TODAY()),IF(E90&gt;DAY(TODAY()),"still to pay","paid ✓"),"not this month")),IF(E90&gt;DAY(TODAY()),"still to pay","paid ✓")))</f>
        <v/>
      </c>
      <c r="H90" s="37" t="str">
        <f aca="true">IF(OR(C90="",E90=""),"",IF(D90="Yearly",IF(F90="","",IF(DATE(YEAR(TODAY()),I90,E90)&gt;TODAY(),DATE(YEAR(TODAY()),I90,E90),DATE(YEAR(TODAY())+1,I90,E90))),IF(E90&gt;DAY(TODAY()),DATE(YEAR(TODAY()),MONTH(TODAY()),E90),DATE(YEAR(TODAY()),MONTH(TODAY())+1,E90))))</f>
        <v/>
      </c>
      <c r="I90" s="38" t="str">
        <f aca="false">IF(F90="","",MATCH(F90,{"Jan","Feb","Mar","Apr","May","Jun","Jul","Aug","Sep","Oct","Nov","Dec"},0))</f>
        <v/>
      </c>
      <c r="J90" s="1"/>
    </row>
    <row r="91" customFormat="false" ht="15" hidden="false" customHeight="false" outlineLevel="0" collapsed="false">
      <c r="A91" s="1"/>
      <c r="B91" s="35"/>
      <c r="C91" s="34"/>
      <c r="D91" s="35"/>
      <c r="E91" s="35"/>
      <c r="F91" s="35"/>
      <c r="G91" s="36" t="str">
        <f aca="true">IF(OR(C91="",E91=""),"",IF(D91="Yearly",IF(F91="","pick a month →",IF(I91=MONTH(TODAY()),IF(E91&gt;DAY(TODAY()),"still to pay","paid ✓"),"not this month")),IF(E91&gt;DAY(TODAY()),"still to pay","paid ✓")))</f>
        <v/>
      </c>
      <c r="H91" s="37" t="str">
        <f aca="true">IF(OR(C91="",E91=""),"",IF(D91="Yearly",IF(F91="","",IF(DATE(YEAR(TODAY()),I91,E91)&gt;TODAY(),DATE(YEAR(TODAY()),I91,E91),DATE(YEAR(TODAY())+1,I91,E91))),IF(E91&gt;DAY(TODAY()),DATE(YEAR(TODAY()),MONTH(TODAY()),E91),DATE(YEAR(TODAY()),MONTH(TODAY())+1,E91))))</f>
        <v/>
      </c>
      <c r="I91" s="38" t="str">
        <f aca="false">IF(F91="","",MATCH(F91,{"Jan","Feb","Mar","Apr","May","Jun","Jul","Aug","Sep","Oct","Nov","Dec"},0))</f>
        <v/>
      </c>
      <c r="J91" s="1"/>
    </row>
    <row r="92" customFormat="false" ht="15" hidden="false" customHeight="false" outlineLevel="0" collapsed="false">
      <c r="A92" s="1"/>
      <c r="B92" s="35"/>
      <c r="C92" s="34"/>
      <c r="D92" s="35"/>
      <c r="E92" s="35"/>
      <c r="F92" s="35"/>
      <c r="G92" s="36" t="str">
        <f aca="true">IF(OR(C92="",E92=""),"",IF(D92="Yearly",IF(F92="","pick a month →",IF(I92=MONTH(TODAY()),IF(E92&gt;DAY(TODAY()),"still to pay","paid ✓"),"not this month")),IF(E92&gt;DAY(TODAY()),"still to pay","paid ✓")))</f>
        <v/>
      </c>
      <c r="H92" s="37" t="str">
        <f aca="true">IF(OR(C92="",E92=""),"",IF(D92="Yearly",IF(F92="","",IF(DATE(YEAR(TODAY()),I92,E92)&gt;TODAY(),DATE(YEAR(TODAY()),I92,E92),DATE(YEAR(TODAY())+1,I92,E92))),IF(E92&gt;DAY(TODAY()),DATE(YEAR(TODAY()),MONTH(TODAY()),E92),DATE(YEAR(TODAY()),MONTH(TODAY())+1,E92))))</f>
        <v/>
      </c>
      <c r="I92" s="38" t="str">
        <f aca="false">IF(F92="","",MATCH(F92,{"Jan","Feb","Mar","Apr","May","Jun","Jul","Aug","Sep","Oct","Nov","Dec"},0))</f>
        <v/>
      </c>
      <c r="J92" s="1"/>
    </row>
    <row r="93" customFormat="false" ht="15" hidden="false" customHeight="false" outlineLevel="0" collapsed="false">
      <c r="A93" s="1"/>
      <c r="B93" s="35"/>
      <c r="C93" s="34"/>
      <c r="D93" s="35"/>
      <c r="E93" s="35"/>
      <c r="F93" s="35"/>
      <c r="G93" s="36" t="str">
        <f aca="true">IF(OR(C93="",E93=""),"",IF(D93="Yearly",IF(F93="","pick a month →",IF(I93=MONTH(TODAY()),IF(E93&gt;DAY(TODAY()),"still to pay","paid ✓"),"not this month")),IF(E93&gt;DAY(TODAY()),"still to pay","paid ✓")))</f>
        <v/>
      </c>
      <c r="H93" s="37" t="str">
        <f aca="true">IF(OR(C93="",E93=""),"",IF(D93="Yearly",IF(F93="","",IF(DATE(YEAR(TODAY()),I93,E93)&gt;TODAY(),DATE(YEAR(TODAY()),I93,E93),DATE(YEAR(TODAY())+1,I93,E93))),IF(E93&gt;DAY(TODAY()),DATE(YEAR(TODAY()),MONTH(TODAY()),E93),DATE(YEAR(TODAY()),MONTH(TODAY())+1,E93))))</f>
        <v/>
      </c>
      <c r="I93" s="38" t="str">
        <f aca="false">IF(F93="","",MATCH(F93,{"Jan","Feb","Mar","Apr","May","Jun","Jul","Aug","Sep","Oct","Nov","Dec"},0))</f>
        <v/>
      </c>
      <c r="J93" s="1"/>
    </row>
    <row r="94" customFormat="false" ht="15" hidden="false" customHeight="false" outlineLevel="0" collapsed="false">
      <c r="A94" s="1"/>
      <c r="B94" s="35"/>
      <c r="C94" s="34"/>
      <c r="D94" s="35"/>
      <c r="E94" s="35"/>
      <c r="F94" s="35"/>
      <c r="G94" s="36" t="str">
        <f aca="true">IF(OR(C94="",E94=""),"",IF(D94="Yearly",IF(F94="","pick a month →",IF(I94=MONTH(TODAY()),IF(E94&gt;DAY(TODAY()),"still to pay","paid ✓"),"not this month")),IF(E94&gt;DAY(TODAY()),"still to pay","paid ✓")))</f>
        <v/>
      </c>
      <c r="H94" s="37" t="str">
        <f aca="true">IF(OR(C94="",E94=""),"",IF(D94="Yearly",IF(F94="","",IF(DATE(YEAR(TODAY()),I94,E94)&gt;TODAY(),DATE(YEAR(TODAY()),I94,E94),DATE(YEAR(TODAY())+1,I94,E94))),IF(E94&gt;DAY(TODAY()),DATE(YEAR(TODAY()),MONTH(TODAY()),E94),DATE(YEAR(TODAY()),MONTH(TODAY())+1,E94))))</f>
        <v/>
      </c>
      <c r="I94" s="38" t="str">
        <f aca="false">IF(F94="","",MATCH(F94,{"Jan","Feb","Mar","Apr","May","Jun","Jul","Aug","Sep","Oct","Nov","Dec"},0))</f>
        <v/>
      </c>
      <c r="J94" s="1"/>
    </row>
    <row r="95" customFormat="false" ht="15" hidden="false" customHeight="false" outlineLevel="0" collapsed="false">
      <c r="A95" s="1"/>
      <c r="B95" s="35"/>
      <c r="C95" s="34"/>
      <c r="D95" s="35"/>
      <c r="E95" s="35"/>
      <c r="F95" s="35"/>
      <c r="G95" s="36" t="str">
        <f aca="true">IF(OR(C95="",E95=""),"",IF(D95="Yearly",IF(F95="","pick a month →",IF(I95=MONTH(TODAY()),IF(E95&gt;DAY(TODAY()),"still to pay","paid ✓"),"not this month")),IF(E95&gt;DAY(TODAY()),"still to pay","paid ✓")))</f>
        <v/>
      </c>
      <c r="H95" s="37" t="str">
        <f aca="true">IF(OR(C95="",E95=""),"",IF(D95="Yearly",IF(F95="","",IF(DATE(YEAR(TODAY()),I95,E95)&gt;TODAY(),DATE(YEAR(TODAY()),I95,E95),DATE(YEAR(TODAY())+1,I95,E95))),IF(E95&gt;DAY(TODAY()),DATE(YEAR(TODAY()),MONTH(TODAY()),E95),DATE(YEAR(TODAY()),MONTH(TODAY())+1,E95))))</f>
        <v/>
      </c>
      <c r="I95" s="38" t="str">
        <f aca="false">IF(F95="","",MATCH(F95,{"Jan","Feb","Mar","Apr","May","Jun","Jul","Aug","Sep","Oct","Nov","Dec"},0))</f>
        <v/>
      </c>
      <c r="J95" s="1"/>
    </row>
    <row r="96" customFormat="false" ht="15" hidden="false" customHeight="false" outlineLevel="0" collapsed="false">
      <c r="A96" s="1"/>
      <c r="B96" s="35"/>
      <c r="C96" s="34"/>
      <c r="D96" s="35"/>
      <c r="E96" s="35"/>
      <c r="F96" s="35"/>
      <c r="G96" s="36" t="str">
        <f aca="true">IF(OR(C96="",E96=""),"",IF(D96="Yearly",IF(F96="","pick a month →",IF(I96=MONTH(TODAY()),IF(E96&gt;DAY(TODAY()),"still to pay","paid ✓"),"not this month")),IF(E96&gt;DAY(TODAY()),"still to pay","paid ✓")))</f>
        <v/>
      </c>
      <c r="H96" s="37" t="str">
        <f aca="true">IF(OR(C96="",E96=""),"",IF(D96="Yearly",IF(F96="","",IF(DATE(YEAR(TODAY()),I96,E96)&gt;TODAY(),DATE(YEAR(TODAY()),I96,E96),DATE(YEAR(TODAY())+1,I96,E96))),IF(E96&gt;DAY(TODAY()),DATE(YEAR(TODAY()),MONTH(TODAY()),E96),DATE(YEAR(TODAY()),MONTH(TODAY())+1,E96))))</f>
        <v/>
      </c>
      <c r="I96" s="38" t="str">
        <f aca="false">IF(F96="","",MATCH(F96,{"Jan","Feb","Mar","Apr","May","Jun","Jul","Aug","Sep","Oct","Nov","Dec"},0))</f>
        <v/>
      </c>
      <c r="J96" s="1"/>
    </row>
    <row r="97" customFormat="false" ht="15" hidden="false" customHeight="false" outlineLevel="0" collapsed="false">
      <c r="A97" s="1"/>
      <c r="B97" s="35"/>
      <c r="C97" s="34"/>
      <c r="D97" s="35"/>
      <c r="E97" s="35"/>
      <c r="F97" s="35"/>
      <c r="G97" s="36" t="str">
        <f aca="true">IF(OR(C97="",E97=""),"",IF(D97="Yearly",IF(F97="","pick a month →",IF(I97=MONTH(TODAY()),IF(E97&gt;DAY(TODAY()),"still to pay","paid ✓"),"not this month")),IF(E97&gt;DAY(TODAY()),"still to pay","paid ✓")))</f>
        <v/>
      </c>
      <c r="H97" s="37" t="str">
        <f aca="true">IF(OR(C97="",E97=""),"",IF(D97="Yearly",IF(F97="","",IF(DATE(YEAR(TODAY()),I97,E97)&gt;TODAY(),DATE(YEAR(TODAY()),I97,E97),DATE(YEAR(TODAY())+1,I97,E97))),IF(E97&gt;DAY(TODAY()),DATE(YEAR(TODAY()),MONTH(TODAY()),E97),DATE(YEAR(TODAY()),MONTH(TODAY())+1,E97))))</f>
        <v/>
      </c>
      <c r="I97" s="38" t="str">
        <f aca="false">IF(F97="","",MATCH(F97,{"Jan","Feb","Mar","Apr","May","Jun","Jul","Aug","Sep","Oct","Nov","Dec"},0))</f>
        <v/>
      </c>
      <c r="J97" s="1"/>
    </row>
    <row r="98" customFormat="false" ht="15" hidden="false" customHeight="false" outlineLevel="0" collapsed="false">
      <c r="A98" s="1"/>
      <c r="B98" s="35"/>
      <c r="C98" s="34"/>
      <c r="D98" s="35"/>
      <c r="E98" s="35"/>
      <c r="F98" s="35"/>
      <c r="G98" s="36" t="str">
        <f aca="true">IF(OR(C98="",E98=""),"",IF(D98="Yearly",IF(F98="","pick a month →",IF(I98=MONTH(TODAY()),IF(E98&gt;DAY(TODAY()),"still to pay","paid ✓"),"not this month")),IF(E98&gt;DAY(TODAY()),"still to pay","paid ✓")))</f>
        <v/>
      </c>
      <c r="H98" s="37" t="str">
        <f aca="true">IF(OR(C98="",E98=""),"",IF(D98="Yearly",IF(F98="","",IF(DATE(YEAR(TODAY()),I98,E98)&gt;TODAY(),DATE(YEAR(TODAY()),I98,E98),DATE(YEAR(TODAY())+1,I98,E98))),IF(E98&gt;DAY(TODAY()),DATE(YEAR(TODAY()),MONTH(TODAY()),E98),DATE(YEAR(TODAY()),MONTH(TODAY())+1,E98))))</f>
        <v/>
      </c>
      <c r="I98" s="38" t="str">
        <f aca="false">IF(F98="","",MATCH(F98,{"Jan","Feb","Mar","Apr","May","Jun","Jul","Aug","Sep","Oct","Nov","Dec"},0))</f>
        <v/>
      </c>
      <c r="J98" s="1"/>
    </row>
    <row r="99" customFormat="false" ht="15" hidden="false" customHeight="false" outlineLevel="0" collapsed="false">
      <c r="A99" s="1"/>
      <c r="B99" s="35"/>
      <c r="C99" s="34"/>
      <c r="D99" s="35"/>
      <c r="E99" s="35"/>
      <c r="F99" s="35"/>
      <c r="G99" s="36" t="str">
        <f aca="true">IF(OR(C99="",E99=""),"",IF(D99="Yearly",IF(F99="","pick a month →",IF(I99=MONTH(TODAY()),IF(E99&gt;DAY(TODAY()),"still to pay","paid ✓"),"not this month")),IF(E99&gt;DAY(TODAY()),"still to pay","paid ✓")))</f>
        <v/>
      </c>
      <c r="H99" s="37" t="str">
        <f aca="true">IF(OR(C99="",E99=""),"",IF(D99="Yearly",IF(F99="","",IF(DATE(YEAR(TODAY()),I99,E99)&gt;TODAY(),DATE(YEAR(TODAY()),I99,E99),DATE(YEAR(TODAY())+1,I99,E99))),IF(E99&gt;DAY(TODAY()),DATE(YEAR(TODAY()),MONTH(TODAY()),E99),DATE(YEAR(TODAY()),MONTH(TODAY())+1,E99))))</f>
        <v/>
      </c>
      <c r="I99" s="38" t="str">
        <f aca="false">IF(F99="","",MATCH(F99,{"Jan","Feb","Mar","Apr","May","Jun","Jul","Aug","Sep","Oct","Nov","Dec"},0))</f>
        <v/>
      </c>
      <c r="J99" s="1"/>
    </row>
    <row r="100" customFormat="false" ht="15" hidden="false" customHeight="false" outlineLevel="0" collapsed="false">
      <c r="A100" s="1"/>
      <c r="B100" s="35"/>
      <c r="C100" s="34"/>
      <c r="D100" s="35"/>
      <c r="E100" s="35"/>
      <c r="F100" s="35"/>
      <c r="G100" s="36" t="str">
        <f aca="true">IF(OR(C100="",E100=""),"",IF(D100="Yearly",IF(F100="","pick a month →",IF(I100=MONTH(TODAY()),IF(E100&gt;DAY(TODAY()),"still to pay","paid ✓"),"not this month")),IF(E100&gt;DAY(TODAY()),"still to pay","paid ✓")))</f>
        <v/>
      </c>
      <c r="H100" s="37" t="str">
        <f aca="true">IF(OR(C100="",E100=""),"",IF(D100="Yearly",IF(F100="","",IF(DATE(YEAR(TODAY()),I100,E100)&gt;TODAY(),DATE(YEAR(TODAY()),I100,E100),DATE(YEAR(TODAY())+1,I100,E100))),IF(E100&gt;DAY(TODAY()),DATE(YEAR(TODAY()),MONTH(TODAY()),E100),DATE(YEAR(TODAY()),MONTH(TODAY())+1,E100))))</f>
        <v/>
      </c>
      <c r="I100" s="38" t="str">
        <f aca="false">IF(F100="","",MATCH(F100,{"Jan","Feb","Mar","Apr","May","Jun","Jul","Aug","Sep","Oct","Nov","Dec"},0))</f>
        <v/>
      </c>
      <c r="J100" s="1"/>
    </row>
    <row r="101" customFormat="false" ht="15" hidden="false" customHeight="false" outlineLevel="0" collapsed="false">
      <c r="A101" s="1"/>
      <c r="B101" s="35"/>
      <c r="C101" s="34"/>
      <c r="D101" s="35"/>
      <c r="E101" s="35"/>
      <c r="F101" s="35"/>
      <c r="G101" s="36" t="str">
        <f aca="true">IF(OR(C101="",E101=""),"",IF(D101="Yearly",IF(F101="","pick a month →",IF(I101=MONTH(TODAY()),IF(E101&gt;DAY(TODAY()),"still to pay","paid ✓"),"not this month")),IF(E101&gt;DAY(TODAY()),"still to pay","paid ✓")))</f>
        <v/>
      </c>
      <c r="H101" s="37" t="str">
        <f aca="true">IF(OR(C101="",E101=""),"",IF(D101="Yearly",IF(F101="","",IF(DATE(YEAR(TODAY()),I101,E101)&gt;TODAY(),DATE(YEAR(TODAY()),I101,E101),DATE(YEAR(TODAY())+1,I101,E101))),IF(E101&gt;DAY(TODAY()),DATE(YEAR(TODAY()),MONTH(TODAY()),E101),DATE(YEAR(TODAY()),MONTH(TODAY())+1,E101))))</f>
        <v/>
      </c>
      <c r="I101" s="38" t="str">
        <f aca="false">IF(F101="","",MATCH(F101,{"Jan","Feb","Mar","Apr","May","Jun","Jul","Aug","Sep","Oct","Nov","Dec"},0))</f>
        <v/>
      </c>
      <c r="J101" s="1"/>
    </row>
    <row r="102" customFormat="false" ht="15" hidden="false" customHeight="false" outlineLevel="0" collapsed="false">
      <c r="A102" s="1"/>
      <c r="B102" s="35"/>
      <c r="C102" s="34"/>
      <c r="D102" s="35"/>
      <c r="E102" s="35"/>
      <c r="F102" s="35"/>
      <c r="G102" s="36" t="str">
        <f aca="true">IF(OR(C102="",E102=""),"",IF(D102="Yearly",IF(F102="","pick a month →",IF(I102=MONTH(TODAY()),IF(E102&gt;DAY(TODAY()),"still to pay","paid ✓"),"not this month")),IF(E102&gt;DAY(TODAY()),"still to pay","paid ✓")))</f>
        <v/>
      </c>
      <c r="H102" s="37" t="str">
        <f aca="true">IF(OR(C102="",E102=""),"",IF(D102="Yearly",IF(F102="","",IF(DATE(YEAR(TODAY()),I102,E102)&gt;TODAY(),DATE(YEAR(TODAY()),I102,E102),DATE(YEAR(TODAY())+1,I102,E102))),IF(E102&gt;DAY(TODAY()),DATE(YEAR(TODAY()),MONTH(TODAY()),E102),DATE(YEAR(TODAY()),MONTH(TODAY())+1,E102))))</f>
        <v/>
      </c>
      <c r="I102" s="38" t="str">
        <f aca="false">IF(F102="","",MATCH(F102,{"Jan","Feb","Mar","Apr","May","Jun","Jul","Aug","Sep","Oct","Nov","Dec"},0))</f>
        <v/>
      </c>
      <c r="J102" s="1"/>
    </row>
    <row r="103" customFormat="false" ht="15" hidden="false" customHeight="false" outlineLevel="0" collapsed="false">
      <c r="A103" s="1"/>
      <c r="B103" s="35"/>
      <c r="C103" s="34"/>
      <c r="D103" s="35"/>
      <c r="E103" s="35"/>
      <c r="F103" s="35"/>
      <c r="G103" s="36" t="str">
        <f aca="true">IF(OR(C103="",E103=""),"",IF(D103="Yearly",IF(F103="","pick a month →",IF(I103=MONTH(TODAY()),IF(E103&gt;DAY(TODAY()),"still to pay","paid ✓"),"not this month")),IF(E103&gt;DAY(TODAY()),"still to pay","paid ✓")))</f>
        <v/>
      </c>
      <c r="H103" s="37" t="str">
        <f aca="true">IF(OR(C103="",E103=""),"",IF(D103="Yearly",IF(F103="","",IF(DATE(YEAR(TODAY()),I103,E103)&gt;TODAY(),DATE(YEAR(TODAY()),I103,E103),DATE(YEAR(TODAY())+1,I103,E103))),IF(E103&gt;DAY(TODAY()),DATE(YEAR(TODAY()),MONTH(TODAY()),E103),DATE(YEAR(TODAY()),MONTH(TODAY())+1,E103))))</f>
        <v/>
      </c>
      <c r="I103" s="38" t="str">
        <f aca="false">IF(F103="","",MATCH(F103,{"Jan","Feb","Mar","Apr","May","Jun","Jul","Aug","Sep","Oct","Nov","Dec"},0))</f>
        <v/>
      </c>
      <c r="J103" s="1"/>
    </row>
    <row r="104" customFormat="false" ht="15" hidden="false" customHeight="false" outlineLevel="0" collapsed="false">
      <c r="A104" s="1"/>
      <c r="B104" s="35"/>
      <c r="C104" s="34"/>
      <c r="D104" s="35"/>
      <c r="E104" s="35"/>
      <c r="F104" s="35"/>
      <c r="G104" s="36" t="str">
        <f aca="true">IF(OR(C104="",E104=""),"",IF(D104="Yearly",IF(F104="","pick a month →",IF(I104=MONTH(TODAY()),IF(E104&gt;DAY(TODAY()),"still to pay","paid ✓"),"not this month")),IF(E104&gt;DAY(TODAY()),"still to pay","paid ✓")))</f>
        <v/>
      </c>
      <c r="H104" s="37" t="str">
        <f aca="true">IF(OR(C104="",E104=""),"",IF(D104="Yearly",IF(F104="","",IF(DATE(YEAR(TODAY()),I104,E104)&gt;TODAY(),DATE(YEAR(TODAY()),I104,E104),DATE(YEAR(TODAY())+1,I104,E104))),IF(E104&gt;DAY(TODAY()),DATE(YEAR(TODAY()),MONTH(TODAY()),E104),DATE(YEAR(TODAY()),MONTH(TODAY())+1,E104))))</f>
        <v/>
      </c>
      <c r="I104" s="38" t="str">
        <f aca="false">IF(F104="","",MATCH(F104,{"Jan","Feb","Mar","Apr","May","Jun","Jul","Aug","Sep","Oct","Nov","Dec"},0))</f>
        <v/>
      </c>
      <c r="J104" s="1"/>
    </row>
    <row r="105" customFormat="false" ht="15" hidden="false" customHeight="false" outlineLevel="0" collapsed="false">
      <c r="A105" s="1"/>
      <c r="B105" s="35"/>
      <c r="C105" s="34"/>
      <c r="D105" s="35"/>
      <c r="E105" s="35"/>
      <c r="F105" s="35"/>
      <c r="G105" s="36" t="str">
        <f aca="true">IF(OR(C105="",E105=""),"",IF(D105="Yearly",IF(F105="","pick a month →",IF(I105=MONTH(TODAY()),IF(E105&gt;DAY(TODAY()),"still to pay","paid ✓"),"not this month")),IF(E105&gt;DAY(TODAY()),"still to pay","paid ✓")))</f>
        <v/>
      </c>
      <c r="H105" s="37" t="str">
        <f aca="true">IF(OR(C105="",E105=""),"",IF(D105="Yearly",IF(F105="","",IF(DATE(YEAR(TODAY()),I105,E105)&gt;TODAY(),DATE(YEAR(TODAY()),I105,E105),DATE(YEAR(TODAY())+1,I105,E105))),IF(E105&gt;DAY(TODAY()),DATE(YEAR(TODAY()),MONTH(TODAY()),E105),DATE(YEAR(TODAY()),MONTH(TODAY())+1,E105))))</f>
        <v/>
      </c>
      <c r="I105" s="38" t="str">
        <f aca="false">IF(F105="","",MATCH(F105,{"Jan","Feb","Mar","Apr","May","Jun","Jul","Aug","Sep","Oct","Nov","Dec"},0))</f>
        <v/>
      </c>
      <c r="J105" s="1"/>
    </row>
    <row r="106" customFormat="false" ht="15" hidden="false" customHeight="false" outlineLevel="0" collapsed="false">
      <c r="A106" s="1"/>
      <c r="B106" s="35"/>
      <c r="C106" s="34"/>
      <c r="D106" s="35"/>
      <c r="E106" s="35"/>
      <c r="F106" s="35"/>
      <c r="G106" s="36" t="str">
        <f aca="true">IF(OR(C106="",E106=""),"",IF(D106="Yearly",IF(F106="","pick a month →",IF(I106=MONTH(TODAY()),IF(E106&gt;DAY(TODAY()),"still to pay","paid ✓"),"not this month")),IF(E106&gt;DAY(TODAY()),"still to pay","paid ✓")))</f>
        <v/>
      </c>
      <c r="H106" s="37" t="str">
        <f aca="true">IF(OR(C106="",E106=""),"",IF(D106="Yearly",IF(F106="","",IF(DATE(YEAR(TODAY()),I106,E106)&gt;TODAY(),DATE(YEAR(TODAY()),I106,E106),DATE(YEAR(TODAY())+1,I106,E106))),IF(E106&gt;DAY(TODAY()),DATE(YEAR(TODAY()),MONTH(TODAY()),E106),DATE(YEAR(TODAY()),MONTH(TODAY())+1,E106))))</f>
        <v/>
      </c>
      <c r="I106" s="38" t="str">
        <f aca="false">IF(F106="","",MATCH(F106,{"Jan","Feb","Mar","Apr","May","Jun","Jul","Aug","Sep","Oct","Nov","Dec"},0))</f>
        <v/>
      </c>
      <c r="J106" s="1"/>
    </row>
    <row r="107" customFormat="false" ht="15" hidden="false" customHeight="false" outlineLevel="0" collapsed="false">
      <c r="A107" s="1"/>
      <c r="B107" s="35"/>
      <c r="C107" s="34"/>
      <c r="D107" s="35"/>
      <c r="E107" s="35"/>
      <c r="F107" s="35"/>
      <c r="G107" s="36" t="str">
        <f aca="true">IF(OR(C107="",E107=""),"",IF(D107="Yearly",IF(F107="","pick a month →",IF(I107=MONTH(TODAY()),IF(E107&gt;DAY(TODAY()),"still to pay","paid ✓"),"not this month")),IF(E107&gt;DAY(TODAY()),"still to pay","paid ✓")))</f>
        <v/>
      </c>
      <c r="H107" s="37" t="str">
        <f aca="true">IF(OR(C107="",E107=""),"",IF(D107="Yearly",IF(F107="","",IF(DATE(YEAR(TODAY()),I107,E107)&gt;TODAY(),DATE(YEAR(TODAY()),I107,E107),DATE(YEAR(TODAY())+1,I107,E107))),IF(E107&gt;DAY(TODAY()),DATE(YEAR(TODAY()),MONTH(TODAY()),E107),DATE(YEAR(TODAY()),MONTH(TODAY())+1,E107))))</f>
        <v/>
      </c>
      <c r="I107" s="38" t="str">
        <f aca="false">IF(F107="","",MATCH(F107,{"Jan","Feb","Mar","Apr","May","Jun","Jul","Aug","Sep","Oct","Nov","Dec"},0))</f>
        <v/>
      </c>
      <c r="J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customFormat="false" ht="15" hidden="false" customHeight="false" outlineLevel="0" collapsed="false">
      <c r="A109" s="1"/>
      <c r="B109" s="11" t="s">
        <v>104</v>
      </c>
      <c r="C109" s="1"/>
      <c r="D109" s="1"/>
      <c r="E109" s="1"/>
      <c r="F109" s="1"/>
      <c r="G109" s="1"/>
      <c r="H109" s="1"/>
      <c r="I109" s="1"/>
      <c r="J109" s="1"/>
    </row>
  </sheetData>
  <dataValidations count="3">
    <dataValidation allowBlank="true" errorStyle="stop" operator="between" showDropDown="false" showErrorMessage="false" showInputMessage="false" sqref="D8:D107" type="list">
      <formula1>"Monthly,Yearly"</formula1>
      <formula2>0</formula2>
    </dataValidation>
    <dataValidation allowBlank="true" errorStyle="stop" operator="between" showDropDown="false" showErrorMessage="false" showInputMessage="false" sqref="F8:F107" type="list">
      <formula1>"Jan,Feb,Mar,Apr,May,Jun,Jul,Aug,Sep,Oct,Nov,Dec"</formula1>
      <formula2>0</formula2>
    </dataValidation>
    <dataValidation allowBlank="true" error="Pick a day from 1 to 31." errorStyle="stop" operator="between" showDropDown="false" showErrorMessage="true" showInputMessage="false" sqref="E8:E107" type="whole">
      <formula1>1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2026-10-29T08:34:16Z</dcterms:created>
  <dc:creator>openpyxl</dc:creator>
  <dc:description/>
  <dc:language>en-US</dc:language>
  <cp:lastModifiedBy/>
  <dcterms:modified xsi:type="dcterms:W3CDTF">2026-10-29T08:34:16Z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